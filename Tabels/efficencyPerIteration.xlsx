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801"/>
  <workbookPr/>
  <xr:revisionPtr revIDLastSave="0" documentId="8_{F10B90A5-628B-4249-9F69-B0E7D1D2B722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Tabelle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1" i="1" l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50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7" i="1"/>
  <c r="I49" i="1"/>
  <c r="I6" i="1"/>
  <c r="I4" i="1"/>
  <c r="I5" i="1"/>
  <c r="I3" i="1"/>
  <c r="I2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7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50" i="1"/>
  <c r="H49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5" i="1"/>
  <c r="H4" i="1"/>
  <c r="H3" i="1"/>
  <c r="H2" i="1"/>
  <c r="H6" i="1"/>
  <c r="H7" i="1"/>
  <c r="G5" i="1"/>
  <c r="G4" i="1"/>
  <c r="G49" i="1"/>
  <c r="G6" i="1"/>
  <c r="G2" i="1"/>
  <c r="G3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D49" i="1"/>
  <c r="E49" i="1"/>
  <c r="D50" i="1"/>
  <c r="E50" i="1"/>
  <c r="D51" i="1"/>
  <c r="E51" i="1"/>
  <c r="D52" i="1"/>
  <c r="E52" i="1"/>
  <c r="D53" i="1"/>
  <c r="E53" i="1"/>
  <c r="D54" i="1"/>
  <c r="E54" i="1"/>
  <c r="D55" i="1"/>
  <c r="E55" i="1"/>
  <c r="D56" i="1"/>
  <c r="E56" i="1"/>
  <c r="D57" i="1"/>
  <c r="E57" i="1"/>
  <c r="D58" i="1"/>
  <c r="E58" i="1"/>
  <c r="D59" i="1"/>
  <c r="E59" i="1"/>
  <c r="D60" i="1"/>
  <c r="E60" i="1"/>
  <c r="D61" i="1"/>
  <c r="E61" i="1"/>
  <c r="D62" i="1"/>
  <c r="E62" i="1"/>
  <c r="D63" i="1"/>
  <c r="E63" i="1"/>
  <c r="D64" i="1"/>
  <c r="E64" i="1"/>
  <c r="D65" i="1"/>
  <c r="E65" i="1"/>
  <c r="D66" i="1"/>
  <c r="E66" i="1"/>
  <c r="D6" i="1"/>
  <c r="E6" i="1"/>
  <c r="D7" i="1"/>
  <c r="E7" i="1"/>
  <c r="D8" i="1"/>
  <c r="E8" i="1"/>
  <c r="D9" i="1"/>
  <c r="E9" i="1"/>
  <c r="D10" i="1"/>
  <c r="E10" i="1"/>
  <c r="D11" i="1"/>
  <c r="E11" i="1"/>
  <c r="D12" i="1"/>
  <c r="E12" i="1"/>
  <c r="D13" i="1"/>
  <c r="E13" i="1"/>
  <c r="D14" i="1"/>
  <c r="E14" i="1"/>
  <c r="D15" i="1"/>
  <c r="E15" i="1"/>
  <c r="D16" i="1"/>
  <c r="E16" i="1"/>
  <c r="D17" i="1"/>
  <c r="E17" i="1"/>
  <c r="D18" i="1"/>
  <c r="E18" i="1"/>
  <c r="D19" i="1"/>
  <c r="E19" i="1"/>
  <c r="D20" i="1"/>
  <c r="E20" i="1"/>
  <c r="D21" i="1"/>
  <c r="E21" i="1"/>
  <c r="D22" i="1"/>
  <c r="E22" i="1"/>
  <c r="D23" i="1"/>
  <c r="E23" i="1"/>
  <c r="D24" i="1"/>
  <c r="E24" i="1"/>
  <c r="D25" i="1"/>
  <c r="E25" i="1"/>
  <c r="D26" i="1"/>
  <c r="E26" i="1"/>
  <c r="D27" i="1"/>
  <c r="E27" i="1"/>
  <c r="D28" i="1"/>
  <c r="E28" i="1"/>
  <c r="D29" i="1"/>
  <c r="E29" i="1"/>
  <c r="D30" i="1"/>
  <c r="E30" i="1"/>
  <c r="D31" i="1"/>
  <c r="E31" i="1"/>
  <c r="D32" i="1"/>
  <c r="E32" i="1"/>
  <c r="D33" i="1"/>
  <c r="E33" i="1"/>
  <c r="D34" i="1"/>
  <c r="E34" i="1"/>
  <c r="D35" i="1"/>
  <c r="E35" i="1"/>
  <c r="D36" i="1"/>
  <c r="E36" i="1"/>
  <c r="D37" i="1"/>
  <c r="E37" i="1"/>
  <c r="D38" i="1"/>
  <c r="E38" i="1"/>
  <c r="D39" i="1"/>
  <c r="E39" i="1"/>
  <c r="D40" i="1"/>
  <c r="E40" i="1"/>
  <c r="D41" i="1"/>
  <c r="E41" i="1"/>
  <c r="D42" i="1"/>
  <c r="E42" i="1"/>
  <c r="D43" i="1"/>
  <c r="E43" i="1"/>
  <c r="D44" i="1"/>
  <c r="E44" i="1"/>
  <c r="D45" i="1"/>
  <c r="E45" i="1"/>
  <c r="D46" i="1"/>
  <c r="E46" i="1"/>
  <c r="D47" i="1"/>
  <c r="E47" i="1"/>
  <c r="D48" i="1"/>
  <c r="E48" i="1"/>
  <c r="D4" i="1"/>
  <c r="E4" i="1"/>
  <c r="D5" i="1"/>
  <c r="E5" i="1"/>
  <c r="E3" i="1"/>
  <c r="E2" i="1"/>
  <c r="D3" i="1"/>
  <c r="D2" i="1"/>
</calcChain>
</file>

<file path=xl/sharedStrings.xml><?xml version="1.0" encoding="utf-8"?>
<sst xmlns="http://schemas.openxmlformats.org/spreadsheetml/2006/main" count="19" uniqueCount="15">
  <si>
    <t>Experiment</t>
  </si>
  <si>
    <t>Model</t>
  </si>
  <si>
    <t>Aufrufe</t>
  </si>
  <si>
    <t>Qualität</t>
  </si>
  <si>
    <t>Ratio</t>
  </si>
  <si>
    <t>Absolute</t>
  </si>
  <si>
    <t>new fixed test per iteration</t>
  </si>
  <si>
    <t>verbesserung prozentpunkte</t>
  </si>
  <si>
    <t>verbesserung relativ</t>
  </si>
  <si>
    <t>% fixed of remaing errors</t>
  </si>
  <si>
    <t>Straightforward aproach</t>
  </si>
  <si>
    <t>gpt-4o-mini</t>
  </si>
  <si>
    <t>claude 3.7</t>
  </si>
  <si>
    <t>Explanation aproach</t>
  </si>
  <si>
    <t>Retranslate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</si>
</sst>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10" fontId="0" fillId="0" borderId="2" xfId="0" applyNumberFormat="1" applyBorder="1"/>
    <xf numFmtId="10" fontId="0" fillId="0" borderId="0" xfId="0" applyNumberFormat="1"/>
    <xf numFmtId="10" fontId="0" fillId="0" borderId="1" xfId="0" applyNumberFormat="1" applyBorder="1"/>
  </cellXfs>
  <cellStyles count="1">
    <cellStyle name="Standard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6"/>
  <sheetViews>
    <sheetView tabSelected="1" workbookViewId="0">
      <selection activeCell="B11" sqref="B11:B12"/>
    </sheetView>
  </sheetViews>
  <sheetFormatPr defaultRowHeight="15"/>
  <cols>
    <col min="1" max="1" width="22.85546875" customWidth="1"/>
    <col min="2" max="2" width="14.7109375" customWidth="1"/>
    <col min="4" max="4" width="14.5703125" customWidth="1"/>
    <col min="7" max="7" width="23.28515625" bestFit="1" customWidth="1"/>
    <col min="8" max="8" width="23.85546875" style="5" customWidth="1"/>
    <col min="9" max="9" width="18.7109375" style="5" customWidth="1"/>
    <col min="10" max="10" width="21.85546875" bestFit="1" customWidth="1"/>
  </cols>
  <sheetData>
    <row r="1" spans="1:10" s="2" customForma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4" t="s">
        <v>7</v>
      </c>
      <c r="I1" s="4" t="s">
        <v>8</v>
      </c>
      <c r="J1" s="2" t="s">
        <v>9</v>
      </c>
    </row>
    <row r="2" spans="1:10">
      <c r="A2" t="s">
        <v>10</v>
      </c>
      <c r="B2" t="s">
        <v>11</v>
      </c>
      <c r="C2">
        <v>1</v>
      </c>
      <c r="D2">
        <f>F2/3500</f>
        <v>0.64428571428571424</v>
      </c>
      <c r="E2">
        <f>D2/C2</f>
        <v>0.64428571428571424</v>
      </c>
      <c r="F2">
        <v>2255</v>
      </c>
      <c r="G2">
        <f>F2-0</f>
        <v>2255</v>
      </c>
      <c r="H2" s="5">
        <f>D2</f>
        <v>0.64428571428571424</v>
      </c>
      <c r="I2" s="5">
        <f>E2</f>
        <v>0.64428571428571424</v>
      </c>
    </row>
    <row r="3" spans="1:10" s="2" customFormat="1">
      <c r="B3" s="2" t="s">
        <v>12</v>
      </c>
      <c r="C3" s="2">
        <v>1</v>
      </c>
      <c r="D3" s="2">
        <f>F3/3500</f>
        <v>0.83285714285714285</v>
      </c>
      <c r="E3" s="2">
        <f>D3/C3</f>
        <v>0.83285714285714285</v>
      </c>
      <c r="F3" s="2">
        <v>2915</v>
      </c>
      <c r="G3" s="2">
        <f>F3-0</f>
        <v>2915</v>
      </c>
      <c r="H3" s="4">
        <f>D3</f>
        <v>0.83285714285714285</v>
      </c>
      <c r="I3" s="4">
        <f>E3</f>
        <v>0.83285714285714285</v>
      </c>
    </row>
    <row r="4" spans="1:10">
      <c r="A4" t="s">
        <v>13</v>
      </c>
      <c r="B4" t="s">
        <v>11</v>
      </c>
      <c r="C4">
        <v>2</v>
      </c>
      <c r="D4">
        <f t="shared" ref="D4:D5" si="0">F4/3500</f>
        <v>0.67228571428571426</v>
      </c>
      <c r="E4">
        <f t="shared" ref="E4:E5" si="1">D4/C4</f>
        <v>0.33614285714285713</v>
      </c>
      <c r="F4">
        <v>2353</v>
      </c>
      <c r="G4">
        <f>F4/2</f>
        <v>1176.5</v>
      </c>
      <c r="H4" s="5">
        <f>D4/2</f>
        <v>0.33614285714285713</v>
      </c>
      <c r="I4" s="4">
        <f>D4/2</f>
        <v>0.33614285714285713</v>
      </c>
    </row>
    <row r="5" spans="1:10" s="2" customFormat="1">
      <c r="B5" s="2" t="s">
        <v>12</v>
      </c>
      <c r="C5" s="2">
        <v>2</v>
      </c>
      <c r="D5" s="2">
        <f t="shared" si="0"/>
        <v>0.82914285714285718</v>
      </c>
      <c r="E5" s="2">
        <f t="shared" si="1"/>
        <v>0.41457142857142859</v>
      </c>
      <c r="F5" s="2">
        <v>2902</v>
      </c>
      <c r="G5" s="2">
        <f>F5/2</f>
        <v>1451</v>
      </c>
      <c r="H5" s="4">
        <f>D5/2</f>
        <v>0.41457142857142859</v>
      </c>
      <c r="I5" s="4">
        <f>D5/2</f>
        <v>0.41457142857142859</v>
      </c>
    </row>
    <row r="6" spans="1:10">
      <c r="A6" t="s">
        <v>14</v>
      </c>
      <c r="B6" t="s">
        <v>11</v>
      </c>
      <c r="C6">
        <v>1</v>
      </c>
      <c r="D6">
        <f t="shared" ref="D6:D50" si="2">F6/3500</f>
        <v>0.64428571428571424</v>
      </c>
      <c r="E6">
        <f t="shared" ref="E6:E50" si="3">D6/C6</f>
        <v>0.64428571428571424</v>
      </c>
      <c r="F6">
        <v>2255</v>
      </c>
      <c r="G6">
        <f>F6-0</f>
        <v>2255</v>
      </c>
      <c r="H6" s="5">
        <f>D6</f>
        <v>0.64428571428571424</v>
      </c>
      <c r="I6" s="5">
        <f>E6</f>
        <v>0.64428571428571424</v>
      </c>
    </row>
    <row r="7" spans="1:10">
      <c r="C7">
        <v>2</v>
      </c>
      <c r="D7">
        <f t="shared" si="2"/>
        <v>0.75857142857142856</v>
      </c>
      <c r="E7">
        <f t="shared" si="3"/>
        <v>0.37928571428571428</v>
      </c>
      <c r="F7">
        <v>2655</v>
      </c>
      <c r="G7">
        <f t="shared" ref="G3:G66" si="4">F7-F6</f>
        <v>400</v>
      </c>
      <c r="H7" s="5">
        <f>D7-D6</f>
        <v>0.11428571428571432</v>
      </c>
      <c r="I7" s="5">
        <f>(D7-D6)/D6</f>
        <v>0.17738359201773843</v>
      </c>
      <c r="J7" s="5">
        <f>G7/(3500-F6)</f>
        <v>0.32128514056224899</v>
      </c>
    </row>
    <row r="8" spans="1:10">
      <c r="C8">
        <v>3</v>
      </c>
      <c r="D8">
        <f t="shared" si="2"/>
        <v>0.79514285714285715</v>
      </c>
      <c r="E8">
        <f t="shared" si="3"/>
        <v>0.26504761904761903</v>
      </c>
      <c r="F8">
        <v>2783</v>
      </c>
      <c r="G8">
        <f t="shared" si="4"/>
        <v>128</v>
      </c>
      <c r="H8" s="5">
        <f t="shared" ref="H8:H48" si="5">D8-D7</f>
        <v>3.6571428571428588E-2</v>
      </c>
      <c r="I8" s="5">
        <f t="shared" ref="I8:I66" si="6">(D8-D7)/D7</f>
        <v>4.8210922787193994E-2</v>
      </c>
      <c r="J8" s="5">
        <f t="shared" ref="J8:J48" si="7">G8/(3500-F7)</f>
        <v>0.1514792899408284</v>
      </c>
    </row>
    <row r="9" spans="1:10">
      <c r="C9">
        <v>4</v>
      </c>
      <c r="D9">
        <f t="shared" si="2"/>
        <v>0.81428571428571428</v>
      </c>
      <c r="E9">
        <f t="shared" si="3"/>
        <v>0.20357142857142857</v>
      </c>
      <c r="F9">
        <v>2850</v>
      </c>
      <c r="G9">
        <f t="shared" si="4"/>
        <v>67</v>
      </c>
      <c r="H9" s="5">
        <f t="shared" si="5"/>
        <v>1.9142857142857128E-2</v>
      </c>
      <c r="I9" s="5">
        <f t="shared" si="6"/>
        <v>2.4074739489759234E-2</v>
      </c>
      <c r="J9" s="5">
        <f t="shared" si="7"/>
        <v>9.3444909344490928E-2</v>
      </c>
    </row>
    <row r="10" spans="1:10">
      <c r="C10">
        <v>5</v>
      </c>
      <c r="D10">
        <f t="shared" si="2"/>
        <v>0.82657142857142862</v>
      </c>
      <c r="E10">
        <f t="shared" si="3"/>
        <v>0.16531428571428572</v>
      </c>
      <c r="F10">
        <v>2893</v>
      </c>
      <c r="G10">
        <f t="shared" si="4"/>
        <v>43</v>
      </c>
      <c r="H10" s="5">
        <f t="shared" si="5"/>
        <v>1.2285714285714344E-2</v>
      </c>
      <c r="I10" s="5">
        <f t="shared" si="6"/>
        <v>1.5087719298245686E-2</v>
      </c>
      <c r="J10" s="5">
        <f t="shared" si="7"/>
        <v>6.615384615384616E-2</v>
      </c>
    </row>
    <row r="11" spans="1:10">
      <c r="C11">
        <v>6</v>
      </c>
      <c r="D11">
        <f t="shared" si="2"/>
        <v>0.83399999999999996</v>
      </c>
      <c r="E11">
        <f t="shared" si="3"/>
        <v>0.13899999999999998</v>
      </c>
      <c r="F11">
        <v>2919</v>
      </c>
      <c r="G11">
        <f t="shared" si="4"/>
        <v>26</v>
      </c>
      <c r="H11" s="5">
        <f t="shared" si="5"/>
        <v>7.42857142857134E-3</v>
      </c>
      <c r="I11" s="5">
        <f t="shared" si="6"/>
        <v>8.9872105081229472E-3</v>
      </c>
      <c r="J11" s="5">
        <f t="shared" si="7"/>
        <v>4.2833607907743002E-2</v>
      </c>
    </row>
    <row r="12" spans="1:10">
      <c r="C12">
        <v>7</v>
      </c>
      <c r="D12">
        <f t="shared" si="2"/>
        <v>0.8402857142857143</v>
      </c>
      <c r="E12">
        <f t="shared" si="3"/>
        <v>0.12004081632653062</v>
      </c>
      <c r="F12">
        <v>2941</v>
      </c>
      <c r="G12">
        <f t="shared" si="4"/>
        <v>22</v>
      </c>
      <c r="H12" s="5">
        <f t="shared" si="5"/>
        <v>6.2857142857143389E-3</v>
      </c>
      <c r="I12" s="5">
        <f t="shared" si="6"/>
        <v>7.5368276807126367E-3</v>
      </c>
      <c r="J12" s="5">
        <f t="shared" si="7"/>
        <v>3.7865748709122203E-2</v>
      </c>
    </row>
    <row r="13" spans="1:10">
      <c r="C13">
        <v>8</v>
      </c>
      <c r="D13">
        <f t="shared" si="2"/>
        <v>0.84799999999999998</v>
      </c>
      <c r="E13">
        <f t="shared" si="3"/>
        <v>0.106</v>
      </c>
      <c r="F13">
        <v>2968</v>
      </c>
      <c r="G13">
        <f t="shared" si="4"/>
        <v>27</v>
      </c>
      <c r="H13" s="5">
        <f t="shared" si="5"/>
        <v>7.7142857142856736E-3</v>
      </c>
      <c r="I13" s="5">
        <f t="shared" si="6"/>
        <v>9.1805508330499337E-3</v>
      </c>
      <c r="J13" s="5">
        <f t="shared" si="7"/>
        <v>4.8300536672629693E-2</v>
      </c>
    </row>
    <row r="14" spans="1:10">
      <c r="C14">
        <v>9</v>
      </c>
      <c r="D14">
        <f t="shared" si="2"/>
        <v>0.85199999999999998</v>
      </c>
      <c r="E14">
        <f t="shared" si="3"/>
        <v>9.4666666666666663E-2</v>
      </c>
      <c r="F14">
        <v>2982</v>
      </c>
      <c r="G14">
        <f t="shared" si="4"/>
        <v>14</v>
      </c>
      <c r="H14" s="5">
        <f t="shared" si="5"/>
        <v>4.0000000000000036E-3</v>
      </c>
      <c r="I14" s="5">
        <f t="shared" si="6"/>
        <v>4.7169811320754759E-3</v>
      </c>
      <c r="J14" s="5">
        <f t="shared" si="7"/>
        <v>2.6315789473684209E-2</v>
      </c>
    </row>
    <row r="15" spans="1:10">
      <c r="C15">
        <v>10</v>
      </c>
      <c r="D15">
        <f t="shared" si="2"/>
        <v>0.85428571428571431</v>
      </c>
      <c r="E15">
        <f t="shared" si="3"/>
        <v>8.5428571428571437E-2</v>
      </c>
      <c r="F15">
        <v>2990</v>
      </c>
      <c r="G15">
        <f t="shared" si="4"/>
        <v>8</v>
      </c>
      <c r="H15" s="5">
        <f t="shared" si="5"/>
        <v>2.2857142857143353E-3</v>
      </c>
      <c r="I15" s="5">
        <f t="shared" si="6"/>
        <v>2.6827632461435863E-3</v>
      </c>
      <c r="J15" s="5">
        <f t="shared" si="7"/>
        <v>1.5444015444015444E-2</v>
      </c>
    </row>
    <row r="16" spans="1:10">
      <c r="C16">
        <v>11</v>
      </c>
      <c r="D16">
        <f t="shared" si="2"/>
        <v>0.85885714285714287</v>
      </c>
      <c r="E16">
        <f t="shared" si="3"/>
        <v>7.807792207792208E-2</v>
      </c>
      <c r="F16">
        <v>3006</v>
      </c>
      <c r="G16">
        <f t="shared" si="4"/>
        <v>16</v>
      </c>
      <c r="H16" s="5">
        <f t="shared" si="5"/>
        <v>4.5714285714285596E-3</v>
      </c>
      <c r="I16" s="5">
        <f t="shared" si="6"/>
        <v>5.3511705685618588E-3</v>
      </c>
      <c r="J16" s="5">
        <f t="shared" si="7"/>
        <v>3.1372549019607843E-2</v>
      </c>
    </row>
    <row r="17" spans="3:10">
      <c r="C17">
        <v>12</v>
      </c>
      <c r="D17">
        <f t="shared" si="2"/>
        <v>0.86142857142857143</v>
      </c>
      <c r="E17">
        <f t="shared" si="3"/>
        <v>7.1785714285714286E-2</v>
      </c>
      <c r="F17">
        <v>3015</v>
      </c>
      <c r="G17">
        <f t="shared" si="4"/>
        <v>9</v>
      </c>
      <c r="H17" s="5">
        <f t="shared" si="5"/>
        <v>2.5714285714285579E-3</v>
      </c>
      <c r="I17" s="5">
        <f t="shared" si="6"/>
        <v>2.9940119760478883E-3</v>
      </c>
      <c r="J17" s="5">
        <f t="shared" si="7"/>
        <v>1.8218623481781375E-2</v>
      </c>
    </row>
    <row r="18" spans="3:10">
      <c r="C18">
        <v>13</v>
      </c>
      <c r="D18">
        <f t="shared" si="2"/>
        <v>0.8631428571428571</v>
      </c>
      <c r="E18">
        <f t="shared" si="3"/>
        <v>6.6395604395604393E-2</v>
      </c>
      <c r="F18">
        <v>3021</v>
      </c>
      <c r="G18">
        <f t="shared" si="4"/>
        <v>6</v>
      </c>
      <c r="H18" s="5">
        <f t="shared" si="5"/>
        <v>1.7142857142856682E-3</v>
      </c>
      <c r="I18" s="5">
        <f t="shared" si="6"/>
        <v>1.9900497512437276E-3</v>
      </c>
      <c r="J18" s="5">
        <f t="shared" si="7"/>
        <v>1.2371134020618556E-2</v>
      </c>
    </row>
    <row r="19" spans="3:10">
      <c r="C19">
        <v>14</v>
      </c>
      <c r="D19">
        <f t="shared" si="2"/>
        <v>0.86571428571428577</v>
      </c>
      <c r="E19">
        <f t="shared" si="3"/>
        <v>6.1836734693877557E-2</v>
      </c>
      <c r="F19">
        <v>3030</v>
      </c>
      <c r="G19">
        <f t="shared" si="4"/>
        <v>9</v>
      </c>
      <c r="H19" s="5">
        <f t="shared" si="5"/>
        <v>2.5714285714286689E-3</v>
      </c>
      <c r="I19" s="5">
        <f t="shared" si="6"/>
        <v>2.9791459781530424E-3</v>
      </c>
      <c r="J19" s="5">
        <f t="shared" si="7"/>
        <v>1.8789144050104383E-2</v>
      </c>
    </row>
    <row r="20" spans="3:10">
      <c r="C20">
        <v>15</v>
      </c>
      <c r="D20">
        <f t="shared" si="2"/>
        <v>0.86942857142857144</v>
      </c>
      <c r="E20">
        <f t="shared" si="3"/>
        <v>5.7961904761904763E-2</v>
      </c>
      <c r="F20">
        <v>3043</v>
      </c>
      <c r="G20">
        <f t="shared" si="4"/>
        <v>13</v>
      </c>
      <c r="H20" s="5">
        <f t="shared" si="5"/>
        <v>3.71428571428567E-3</v>
      </c>
      <c r="I20" s="5">
        <f t="shared" si="6"/>
        <v>4.2904290429042393E-3</v>
      </c>
      <c r="J20" s="5">
        <f t="shared" si="7"/>
        <v>2.7659574468085105E-2</v>
      </c>
    </row>
    <row r="21" spans="3:10">
      <c r="C21">
        <v>16</v>
      </c>
      <c r="D21">
        <f t="shared" si="2"/>
        <v>0.87142857142857144</v>
      </c>
      <c r="E21">
        <f t="shared" si="3"/>
        <v>5.4464285714285715E-2</v>
      </c>
      <c r="F21">
        <v>3050</v>
      </c>
      <c r="G21">
        <f t="shared" si="4"/>
        <v>7</v>
      </c>
      <c r="H21" s="5">
        <f t="shared" si="5"/>
        <v>2.0000000000000018E-3</v>
      </c>
      <c r="I21" s="5">
        <f t="shared" si="6"/>
        <v>2.3003614853762755E-3</v>
      </c>
      <c r="J21" s="5">
        <f t="shared" si="7"/>
        <v>1.5317286652078774E-2</v>
      </c>
    </row>
    <row r="22" spans="3:10">
      <c r="C22">
        <v>17</v>
      </c>
      <c r="D22">
        <f t="shared" si="2"/>
        <v>0.87285714285714289</v>
      </c>
      <c r="E22">
        <f t="shared" si="3"/>
        <v>5.1344537815126053E-2</v>
      </c>
      <c r="F22">
        <v>3055</v>
      </c>
      <c r="G22">
        <f t="shared" si="4"/>
        <v>5</v>
      </c>
      <c r="H22" s="5">
        <f t="shared" si="5"/>
        <v>1.4285714285714457E-3</v>
      </c>
      <c r="I22" s="5">
        <f t="shared" si="6"/>
        <v>1.6393442622951017E-3</v>
      </c>
      <c r="J22" s="5">
        <f t="shared" si="7"/>
        <v>1.1111111111111112E-2</v>
      </c>
    </row>
    <row r="23" spans="3:10">
      <c r="C23">
        <v>18</v>
      </c>
      <c r="D23">
        <f t="shared" si="2"/>
        <v>0.87571428571428567</v>
      </c>
      <c r="E23">
        <f t="shared" si="3"/>
        <v>4.8650793650793646E-2</v>
      </c>
      <c r="F23">
        <v>3065</v>
      </c>
      <c r="G23">
        <f t="shared" si="4"/>
        <v>10</v>
      </c>
      <c r="H23" s="5">
        <f t="shared" si="5"/>
        <v>2.8571428571427804E-3</v>
      </c>
      <c r="I23" s="5">
        <f t="shared" si="6"/>
        <v>3.2733224222585046E-3</v>
      </c>
      <c r="J23" s="5">
        <f t="shared" si="7"/>
        <v>2.247191011235955E-2</v>
      </c>
    </row>
    <row r="24" spans="3:10">
      <c r="C24">
        <v>19</v>
      </c>
      <c r="D24">
        <f t="shared" si="2"/>
        <v>0.87742857142857145</v>
      </c>
      <c r="E24">
        <f t="shared" si="3"/>
        <v>4.6180451127819551E-2</v>
      </c>
      <c r="F24">
        <v>3071</v>
      </c>
      <c r="G24">
        <f t="shared" si="4"/>
        <v>6</v>
      </c>
      <c r="H24" s="5">
        <f t="shared" si="5"/>
        <v>1.7142857142857792E-3</v>
      </c>
      <c r="I24" s="5">
        <f t="shared" si="6"/>
        <v>1.9575856443720153E-3</v>
      </c>
      <c r="J24" s="5">
        <f t="shared" si="7"/>
        <v>1.3793103448275862E-2</v>
      </c>
    </row>
    <row r="25" spans="3:10">
      <c r="C25">
        <v>20</v>
      </c>
      <c r="D25">
        <f t="shared" si="2"/>
        <v>0.878</v>
      </c>
      <c r="E25">
        <f t="shared" si="3"/>
        <v>4.3900000000000002E-2</v>
      </c>
      <c r="F25">
        <v>3073</v>
      </c>
      <c r="G25">
        <f t="shared" si="4"/>
        <v>2</v>
      </c>
      <c r="H25" s="5">
        <f t="shared" si="5"/>
        <v>5.7142857142855608E-4</v>
      </c>
      <c r="I25" s="5">
        <f t="shared" si="6"/>
        <v>6.5125366330183855E-4</v>
      </c>
      <c r="J25" s="5">
        <f t="shared" si="7"/>
        <v>4.662004662004662E-3</v>
      </c>
    </row>
    <row r="26" spans="3:10">
      <c r="C26">
        <v>21</v>
      </c>
      <c r="D26">
        <f t="shared" si="2"/>
        <v>0.87885714285714289</v>
      </c>
      <c r="E26">
        <f t="shared" si="3"/>
        <v>4.1850340136054424E-2</v>
      </c>
      <c r="F26">
        <v>3076</v>
      </c>
      <c r="G26">
        <f t="shared" si="4"/>
        <v>3</v>
      </c>
      <c r="H26" s="5">
        <f t="shared" si="5"/>
        <v>8.5714285714288962E-4</v>
      </c>
      <c r="I26" s="5">
        <f t="shared" si="6"/>
        <v>9.7624471200784691E-4</v>
      </c>
      <c r="J26" s="5">
        <f t="shared" si="7"/>
        <v>7.0257611241217799E-3</v>
      </c>
    </row>
    <row r="27" spans="3:10">
      <c r="C27">
        <v>22</v>
      </c>
      <c r="D27">
        <f t="shared" si="2"/>
        <v>0.88</v>
      </c>
      <c r="E27">
        <f t="shared" si="3"/>
        <v>0.04</v>
      </c>
      <c r="F27">
        <v>3080</v>
      </c>
      <c r="G27">
        <f t="shared" si="4"/>
        <v>4</v>
      </c>
      <c r="H27" s="5">
        <f t="shared" si="5"/>
        <v>1.1428571428571122E-3</v>
      </c>
      <c r="I27" s="5">
        <f t="shared" si="6"/>
        <v>1.3003901170350757E-3</v>
      </c>
      <c r="J27" s="5">
        <f t="shared" si="7"/>
        <v>9.433962264150943E-3</v>
      </c>
    </row>
    <row r="28" spans="3:10">
      <c r="C28">
        <v>23</v>
      </c>
      <c r="D28">
        <f t="shared" si="2"/>
        <v>0.88171428571428567</v>
      </c>
      <c r="E28">
        <f t="shared" si="3"/>
        <v>3.8335403726708073E-2</v>
      </c>
      <c r="F28">
        <v>3086</v>
      </c>
      <c r="G28">
        <f t="shared" si="4"/>
        <v>6</v>
      </c>
      <c r="H28" s="5">
        <f t="shared" si="5"/>
        <v>1.7142857142856682E-3</v>
      </c>
      <c r="I28" s="5">
        <f t="shared" si="6"/>
        <v>1.9480519480518958E-3</v>
      </c>
      <c r="J28" s="5">
        <f t="shared" si="7"/>
        <v>1.4285714285714285E-2</v>
      </c>
    </row>
    <row r="29" spans="3:10">
      <c r="C29">
        <v>24</v>
      </c>
      <c r="D29">
        <f t="shared" si="2"/>
        <v>0.88314285714285712</v>
      </c>
      <c r="E29">
        <f t="shared" si="3"/>
        <v>3.6797619047619044E-2</v>
      </c>
      <c r="F29">
        <v>3091</v>
      </c>
      <c r="G29">
        <f t="shared" si="4"/>
        <v>5</v>
      </c>
      <c r="H29" s="5">
        <f t="shared" si="5"/>
        <v>1.4285714285714457E-3</v>
      </c>
      <c r="I29" s="5">
        <f t="shared" si="6"/>
        <v>1.6202203499676151E-3</v>
      </c>
      <c r="J29" s="5">
        <f t="shared" si="7"/>
        <v>1.2077294685990338E-2</v>
      </c>
    </row>
    <row r="30" spans="3:10">
      <c r="C30">
        <v>25</v>
      </c>
      <c r="D30">
        <f t="shared" si="2"/>
        <v>0.88371428571428567</v>
      </c>
      <c r="E30">
        <f t="shared" si="3"/>
        <v>3.5348571428571424E-2</v>
      </c>
      <c r="F30">
        <v>3093</v>
      </c>
      <c r="G30">
        <f t="shared" si="4"/>
        <v>2</v>
      </c>
      <c r="H30" s="5">
        <f t="shared" si="5"/>
        <v>5.7142857142855608E-4</v>
      </c>
      <c r="I30" s="5">
        <f t="shared" si="6"/>
        <v>6.4703979294724885E-4</v>
      </c>
      <c r="J30" s="5">
        <f t="shared" si="7"/>
        <v>4.8899755501222494E-3</v>
      </c>
    </row>
    <row r="31" spans="3:10">
      <c r="C31">
        <v>26</v>
      </c>
      <c r="D31">
        <f t="shared" si="2"/>
        <v>0.88428571428571423</v>
      </c>
      <c r="E31">
        <f t="shared" si="3"/>
        <v>3.4010989010989007E-2</v>
      </c>
      <c r="F31">
        <v>3095</v>
      </c>
      <c r="G31">
        <f t="shared" si="4"/>
        <v>2</v>
      </c>
      <c r="H31" s="5">
        <f t="shared" si="5"/>
        <v>5.7142857142855608E-4</v>
      </c>
      <c r="I31" s="5">
        <f t="shared" si="6"/>
        <v>6.4662140316842757E-4</v>
      </c>
      <c r="J31" s="5">
        <f t="shared" si="7"/>
        <v>4.9140049140049139E-3</v>
      </c>
    </row>
    <row r="32" spans="3:10">
      <c r="C32">
        <v>27</v>
      </c>
      <c r="D32">
        <f t="shared" si="2"/>
        <v>0.88571428571428568</v>
      </c>
      <c r="E32">
        <f t="shared" si="3"/>
        <v>3.2804232804232801E-2</v>
      </c>
      <c r="F32">
        <v>3100</v>
      </c>
      <c r="G32">
        <f t="shared" si="4"/>
        <v>5</v>
      </c>
      <c r="H32" s="5">
        <f t="shared" si="5"/>
        <v>1.4285714285714457E-3</v>
      </c>
      <c r="I32" s="5">
        <f t="shared" si="6"/>
        <v>1.6155088852988885E-3</v>
      </c>
      <c r="J32" s="5">
        <f t="shared" si="7"/>
        <v>1.2345679012345678E-2</v>
      </c>
    </row>
    <row r="33" spans="3:10">
      <c r="C33">
        <v>28</v>
      </c>
      <c r="D33">
        <f t="shared" si="2"/>
        <v>0.88657142857142857</v>
      </c>
      <c r="E33">
        <f t="shared" si="3"/>
        <v>3.166326530612245E-2</v>
      </c>
      <c r="F33">
        <v>3103</v>
      </c>
      <c r="G33">
        <f t="shared" si="4"/>
        <v>3</v>
      </c>
      <c r="H33" s="5">
        <f t="shared" si="5"/>
        <v>8.5714285714288962E-4</v>
      </c>
      <c r="I33" s="5">
        <f t="shared" si="6"/>
        <v>9.6774193548390772E-4</v>
      </c>
      <c r="J33" s="5">
        <f t="shared" si="7"/>
        <v>7.4999999999999997E-3</v>
      </c>
    </row>
    <row r="34" spans="3:10">
      <c r="C34">
        <v>29</v>
      </c>
      <c r="D34">
        <f t="shared" si="2"/>
        <v>0.88742857142857146</v>
      </c>
      <c r="E34">
        <f t="shared" si="3"/>
        <v>3.0600985221674877E-2</v>
      </c>
      <c r="F34">
        <v>3106</v>
      </c>
      <c r="G34">
        <f t="shared" si="4"/>
        <v>3</v>
      </c>
      <c r="H34" s="5">
        <f t="shared" si="5"/>
        <v>8.5714285714288962E-4</v>
      </c>
      <c r="I34" s="5">
        <f t="shared" si="6"/>
        <v>9.6680631646797093E-4</v>
      </c>
      <c r="J34" s="5">
        <f t="shared" si="7"/>
        <v>7.556675062972292E-3</v>
      </c>
    </row>
    <row r="35" spans="3:10">
      <c r="C35">
        <v>30</v>
      </c>
      <c r="D35">
        <f t="shared" si="2"/>
        <v>0.88857142857142857</v>
      </c>
      <c r="E35">
        <f t="shared" si="3"/>
        <v>2.9619047619047618E-2</v>
      </c>
      <c r="F35">
        <v>3110</v>
      </c>
      <c r="G35">
        <f t="shared" si="4"/>
        <v>4</v>
      </c>
      <c r="H35" s="5">
        <f t="shared" si="5"/>
        <v>1.1428571428571122E-3</v>
      </c>
      <c r="I35" s="5">
        <f t="shared" si="6"/>
        <v>1.2878300064391153E-3</v>
      </c>
      <c r="J35" s="5">
        <f t="shared" si="7"/>
        <v>1.015228426395939E-2</v>
      </c>
    </row>
    <row r="36" spans="3:10">
      <c r="C36">
        <v>31</v>
      </c>
      <c r="D36">
        <f t="shared" si="2"/>
        <v>0.88914285714285712</v>
      </c>
      <c r="E36">
        <f t="shared" si="3"/>
        <v>2.8682027649769584E-2</v>
      </c>
      <c r="F36">
        <v>3112</v>
      </c>
      <c r="G36">
        <f t="shared" si="4"/>
        <v>2</v>
      </c>
      <c r="H36" s="5">
        <f t="shared" si="5"/>
        <v>5.7142857142855608E-4</v>
      </c>
      <c r="I36" s="5">
        <f t="shared" si="6"/>
        <v>6.4308681672024001E-4</v>
      </c>
      <c r="J36" s="5">
        <f t="shared" si="7"/>
        <v>5.1282051282051282E-3</v>
      </c>
    </row>
    <row r="37" spans="3:10">
      <c r="C37">
        <v>32</v>
      </c>
      <c r="D37">
        <f t="shared" si="2"/>
        <v>0.89057142857142857</v>
      </c>
      <c r="E37">
        <f t="shared" si="3"/>
        <v>2.7830357142857143E-2</v>
      </c>
      <c r="F37">
        <v>3117</v>
      </c>
      <c r="G37">
        <f t="shared" si="4"/>
        <v>5</v>
      </c>
      <c r="H37" s="5">
        <f t="shared" si="5"/>
        <v>1.4285714285714457E-3</v>
      </c>
      <c r="I37" s="5">
        <f t="shared" si="6"/>
        <v>1.6066838046272687E-3</v>
      </c>
      <c r="J37" s="5">
        <f t="shared" si="7"/>
        <v>1.2886597938144329E-2</v>
      </c>
    </row>
    <row r="38" spans="3:10">
      <c r="C38">
        <v>33</v>
      </c>
      <c r="D38">
        <f t="shared" si="2"/>
        <v>0.89171428571428568</v>
      </c>
      <c r="E38">
        <f t="shared" si="3"/>
        <v>2.7021645021645019E-2</v>
      </c>
      <c r="F38">
        <v>3121</v>
      </c>
      <c r="G38">
        <f t="shared" si="4"/>
        <v>4</v>
      </c>
      <c r="H38" s="5">
        <f t="shared" si="5"/>
        <v>1.1428571428571122E-3</v>
      </c>
      <c r="I38" s="5">
        <f t="shared" si="6"/>
        <v>1.2832852101379187E-3</v>
      </c>
      <c r="J38" s="5">
        <f t="shared" si="7"/>
        <v>1.0443864229765013E-2</v>
      </c>
    </row>
    <row r="39" spans="3:10">
      <c r="C39">
        <v>34</v>
      </c>
      <c r="D39">
        <f t="shared" si="2"/>
        <v>0.8928571428571429</v>
      </c>
      <c r="E39">
        <f t="shared" si="3"/>
        <v>2.6260504201680673E-2</v>
      </c>
      <c r="F39">
        <v>3125</v>
      </c>
      <c r="G39">
        <f t="shared" si="4"/>
        <v>4</v>
      </c>
      <c r="H39" s="5">
        <f t="shared" si="5"/>
        <v>1.1428571428572232E-3</v>
      </c>
      <c r="I39" s="5">
        <f t="shared" si="6"/>
        <v>1.2816404998398851E-3</v>
      </c>
      <c r="J39" s="5">
        <f t="shared" si="7"/>
        <v>1.0554089709762533E-2</v>
      </c>
    </row>
    <row r="40" spans="3:10">
      <c r="C40">
        <v>35</v>
      </c>
      <c r="D40">
        <f t="shared" si="2"/>
        <v>0.89342857142857146</v>
      </c>
      <c r="E40">
        <f t="shared" si="3"/>
        <v>2.5526530612244899E-2</v>
      </c>
      <c r="F40">
        <v>3127</v>
      </c>
      <c r="G40">
        <f t="shared" si="4"/>
        <v>2</v>
      </c>
      <c r="H40" s="5">
        <f t="shared" si="5"/>
        <v>5.7142857142855608E-4</v>
      </c>
      <c r="I40" s="5">
        <f t="shared" si="6"/>
        <v>6.3999999999998281E-4</v>
      </c>
      <c r="J40" s="5">
        <f t="shared" si="7"/>
        <v>5.3333333333333332E-3</v>
      </c>
    </row>
    <row r="41" spans="3:10">
      <c r="C41">
        <v>36</v>
      </c>
      <c r="D41">
        <f t="shared" si="2"/>
        <v>0.89371428571428568</v>
      </c>
      <c r="E41">
        <f t="shared" si="3"/>
        <v>2.4825396825396823E-2</v>
      </c>
      <c r="F41">
        <v>3128</v>
      </c>
      <c r="G41">
        <f t="shared" si="4"/>
        <v>1</v>
      </c>
      <c r="H41" s="5">
        <f t="shared" si="5"/>
        <v>2.8571428571422253E-4</v>
      </c>
      <c r="I41" s="5">
        <f t="shared" si="6"/>
        <v>3.1979533098809684E-4</v>
      </c>
      <c r="J41" s="5">
        <f t="shared" si="7"/>
        <v>2.6809651474530832E-3</v>
      </c>
    </row>
    <row r="42" spans="3:10">
      <c r="C42">
        <v>37</v>
      </c>
      <c r="D42">
        <f t="shared" si="2"/>
        <v>0.89485714285714291</v>
      </c>
      <c r="E42">
        <f t="shared" si="3"/>
        <v>2.4185328185328186E-2</v>
      </c>
      <c r="F42">
        <v>3132</v>
      </c>
      <c r="G42">
        <f t="shared" si="4"/>
        <v>4</v>
      </c>
      <c r="H42" s="5">
        <f t="shared" si="5"/>
        <v>1.1428571428572232E-3</v>
      </c>
      <c r="I42" s="5">
        <f t="shared" si="6"/>
        <v>1.2787723785167139E-3</v>
      </c>
      <c r="J42" s="5">
        <f t="shared" si="7"/>
        <v>1.0752688172043012E-2</v>
      </c>
    </row>
    <row r="43" spans="3:10">
      <c r="C43">
        <v>38</v>
      </c>
      <c r="D43">
        <f t="shared" si="2"/>
        <v>0.89571428571428569</v>
      </c>
      <c r="E43">
        <f t="shared" si="3"/>
        <v>2.357142857142857E-2</v>
      </c>
      <c r="F43">
        <v>3135</v>
      </c>
      <c r="G43">
        <f t="shared" si="4"/>
        <v>3</v>
      </c>
      <c r="H43" s="5">
        <f t="shared" si="5"/>
        <v>8.571428571427786E-4</v>
      </c>
      <c r="I43" s="5">
        <f t="shared" si="6"/>
        <v>9.5785440613018033E-4</v>
      </c>
      <c r="J43" s="5">
        <f t="shared" si="7"/>
        <v>8.152173913043478E-3</v>
      </c>
    </row>
    <row r="44" spans="3:10">
      <c r="C44">
        <v>39</v>
      </c>
      <c r="D44">
        <f t="shared" si="2"/>
        <v>0.89600000000000002</v>
      </c>
      <c r="E44">
        <f t="shared" si="3"/>
        <v>2.2974358974358976E-2</v>
      </c>
      <c r="F44">
        <v>3136</v>
      </c>
      <c r="G44">
        <f t="shared" si="4"/>
        <v>1</v>
      </c>
      <c r="H44" s="5">
        <f t="shared" si="5"/>
        <v>2.8571428571433355E-4</v>
      </c>
      <c r="I44" s="5">
        <f t="shared" si="6"/>
        <v>3.1897926634774079E-4</v>
      </c>
      <c r="J44" s="5">
        <f t="shared" si="7"/>
        <v>2.7397260273972603E-3</v>
      </c>
    </row>
    <row r="45" spans="3:10">
      <c r="C45">
        <v>40</v>
      </c>
      <c r="D45">
        <f t="shared" si="2"/>
        <v>0.89771428571428569</v>
      </c>
      <c r="E45">
        <f t="shared" si="3"/>
        <v>2.2442857142857143E-2</v>
      </c>
      <c r="F45">
        <v>3142</v>
      </c>
      <c r="G45">
        <f t="shared" si="4"/>
        <v>6</v>
      </c>
      <c r="H45" s="5">
        <f t="shared" si="5"/>
        <v>1.7142857142856682E-3</v>
      </c>
      <c r="I45" s="5">
        <f t="shared" si="6"/>
        <v>1.9132653061223975E-3</v>
      </c>
      <c r="J45" s="5">
        <f t="shared" si="7"/>
        <v>1.6483516483516484E-2</v>
      </c>
    </row>
    <row r="46" spans="3:10">
      <c r="C46">
        <v>41</v>
      </c>
      <c r="D46">
        <f t="shared" si="2"/>
        <v>0.89885714285714291</v>
      </c>
      <c r="E46">
        <f t="shared" si="3"/>
        <v>2.1923344947735193E-2</v>
      </c>
      <c r="F46">
        <v>3146</v>
      </c>
      <c r="G46">
        <f t="shared" si="4"/>
        <v>4</v>
      </c>
      <c r="H46" s="5">
        <f t="shared" si="5"/>
        <v>1.1428571428572232E-3</v>
      </c>
      <c r="I46" s="5">
        <f t="shared" si="6"/>
        <v>1.2730744748568686E-3</v>
      </c>
      <c r="J46" s="5">
        <f t="shared" si="7"/>
        <v>1.11731843575419E-2</v>
      </c>
    </row>
    <row r="47" spans="3:10">
      <c r="C47">
        <v>42</v>
      </c>
      <c r="D47">
        <f t="shared" si="2"/>
        <v>0.89971428571428569</v>
      </c>
      <c r="E47">
        <f t="shared" si="3"/>
        <v>2.1421768707482993E-2</v>
      </c>
      <c r="F47">
        <v>3149</v>
      </c>
      <c r="G47">
        <f t="shared" si="4"/>
        <v>3</v>
      </c>
      <c r="H47" s="5">
        <f t="shared" si="5"/>
        <v>8.571428571427786E-4</v>
      </c>
      <c r="I47" s="5">
        <f t="shared" si="6"/>
        <v>9.5359186268268435E-4</v>
      </c>
      <c r="J47" s="5">
        <f t="shared" si="7"/>
        <v>8.4745762711864406E-3</v>
      </c>
    </row>
    <row r="48" spans="3:10">
      <c r="C48">
        <v>43</v>
      </c>
      <c r="D48">
        <f t="shared" si="2"/>
        <v>0.9</v>
      </c>
      <c r="E48">
        <f t="shared" si="3"/>
        <v>2.0930232558139535E-2</v>
      </c>
      <c r="F48">
        <v>3150</v>
      </c>
      <c r="G48" s="3">
        <f t="shared" si="4"/>
        <v>1</v>
      </c>
      <c r="H48" s="5">
        <f t="shared" si="5"/>
        <v>2.8571428571433355E-4</v>
      </c>
      <c r="I48" s="5">
        <f t="shared" si="6"/>
        <v>3.1756113051767783E-4</v>
      </c>
      <c r="J48" s="5">
        <f t="shared" si="7"/>
        <v>2.8490028490028491E-3</v>
      </c>
    </row>
    <row r="49" spans="2:10" s="1" customFormat="1">
      <c r="B49" s="1" t="s">
        <v>12</v>
      </c>
      <c r="C49" s="1">
        <v>1</v>
      </c>
      <c r="D49" s="1">
        <f t="shared" ref="D49:D72" si="8">F49/3500</f>
        <v>0.83285714285714285</v>
      </c>
      <c r="E49" s="1">
        <f t="shared" ref="E49:E72" si="9">D49/C49</f>
        <v>0.83285714285714285</v>
      </c>
      <c r="F49" s="1">
        <v>2915</v>
      </c>
      <c r="G49">
        <f>F49-0</f>
        <v>2915</v>
      </c>
      <c r="H49" s="6">
        <f>D49</f>
        <v>0.83285714285714285</v>
      </c>
      <c r="I49" s="6">
        <f>E49</f>
        <v>0.83285714285714285</v>
      </c>
    </row>
    <row r="50" spans="2:10">
      <c r="C50">
        <v>2</v>
      </c>
      <c r="D50">
        <f t="shared" si="8"/>
        <v>0.89171428571428568</v>
      </c>
      <c r="E50">
        <f t="shared" si="9"/>
        <v>0.44585714285714284</v>
      </c>
      <c r="F50">
        <v>3121</v>
      </c>
      <c r="G50">
        <f t="shared" si="4"/>
        <v>206</v>
      </c>
      <c r="H50" s="5">
        <f>D50-D49</f>
        <v>5.885714285714283E-2</v>
      </c>
      <c r="I50" s="5">
        <f t="shared" si="6"/>
        <v>7.0668953687821584E-2</v>
      </c>
      <c r="J50" s="5">
        <f>G50/(3500-F49)</f>
        <v>0.35213675213675216</v>
      </c>
    </row>
    <row r="51" spans="2:10">
      <c r="C51">
        <v>3</v>
      </c>
      <c r="D51">
        <f t="shared" si="8"/>
        <v>0.92742857142857138</v>
      </c>
      <c r="E51">
        <f t="shared" si="9"/>
        <v>0.30914285714285711</v>
      </c>
      <c r="F51">
        <v>3246</v>
      </c>
      <c r="G51">
        <f t="shared" si="4"/>
        <v>125</v>
      </c>
      <c r="H51" s="5">
        <f t="shared" ref="H51:H66" si="10">D51-D50</f>
        <v>3.5714285714285698E-2</v>
      </c>
      <c r="I51" s="5">
        <f t="shared" si="6"/>
        <v>4.0051265619993573E-2</v>
      </c>
      <c r="J51" s="5">
        <f t="shared" ref="J51:J66" si="11">G51/(3500-F50)</f>
        <v>0.32981530343007914</v>
      </c>
    </row>
    <row r="52" spans="2:10">
      <c r="C52">
        <v>4</v>
      </c>
      <c r="D52">
        <f t="shared" si="8"/>
        <v>0.93857142857142861</v>
      </c>
      <c r="E52">
        <f t="shared" si="9"/>
        <v>0.23464285714285715</v>
      </c>
      <c r="F52">
        <v>3285</v>
      </c>
      <c r="G52">
        <f t="shared" si="4"/>
        <v>39</v>
      </c>
      <c r="H52" s="5">
        <f t="shared" si="10"/>
        <v>1.1142857142857232E-2</v>
      </c>
      <c r="I52" s="5">
        <f t="shared" si="6"/>
        <v>1.2014787430684015E-2</v>
      </c>
      <c r="J52" s="5">
        <f t="shared" si="11"/>
        <v>0.15354330708661418</v>
      </c>
    </row>
    <row r="53" spans="2:10">
      <c r="C53">
        <v>5</v>
      </c>
      <c r="D53">
        <f t="shared" si="8"/>
        <v>0.94428571428571428</v>
      </c>
      <c r="E53">
        <f t="shared" si="9"/>
        <v>0.18885714285714286</v>
      </c>
      <c r="F53">
        <v>3305</v>
      </c>
      <c r="G53">
        <f t="shared" si="4"/>
        <v>20</v>
      </c>
      <c r="H53" s="5">
        <f t="shared" si="10"/>
        <v>5.7142857142856718E-3</v>
      </c>
      <c r="I53" s="5">
        <f t="shared" si="6"/>
        <v>6.0882800608827552E-3</v>
      </c>
      <c r="J53" s="5">
        <f t="shared" si="11"/>
        <v>9.3023255813953487E-2</v>
      </c>
    </row>
    <row r="54" spans="2:10">
      <c r="C54">
        <v>6</v>
      </c>
      <c r="D54">
        <f t="shared" si="8"/>
        <v>0.94714285714285718</v>
      </c>
      <c r="E54">
        <f t="shared" si="9"/>
        <v>0.15785714285714286</v>
      </c>
      <c r="F54">
        <v>3315</v>
      </c>
      <c r="G54">
        <f t="shared" si="4"/>
        <v>10</v>
      </c>
      <c r="H54" s="5">
        <f t="shared" si="10"/>
        <v>2.8571428571428914E-3</v>
      </c>
      <c r="I54" s="5">
        <f t="shared" si="6"/>
        <v>3.0257186081694767E-3</v>
      </c>
      <c r="J54" s="5">
        <f t="shared" si="11"/>
        <v>5.128205128205128E-2</v>
      </c>
    </row>
    <row r="55" spans="2:10">
      <c r="C55">
        <v>7</v>
      </c>
      <c r="D55">
        <f t="shared" si="8"/>
        <v>0.94971428571428573</v>
      </c>
      <c r="E55">
        <f t="shared" si="9"/>
        <v>0.1356734693877551</v>
      </c>
      <c r="F55">
        <v>3324</v>
      </c>
      <c r="G55">
        <f t="shared" si="4"/>
        <v>9</v>
      </c>
      <c r="H55" s="5">
        <f t="shared" si="10"/>
        <v>2.5714285714285579E-3</v>
      </c>
      <c r="I55" s="5">
        <f t="shared" si="6"/>
        <v>2.7149321266968182E-3</v>
      </c>
      <c r="J55" s="5">
        <f t="shared" si="11"/>
        <v>4.8648648648648651E-2</v>
      </c>
    </row>
    <row r="56" spans="2:10">
      <c r="C56">
        <v>8</v>
      </c>
      <c r="D56">
        <f t="shared" si="8"/>
        <v>0.95114285714285718</v>
      </c>
      <c r="E56">
        <f t="shared" si="9"/>
        <v>0.11889285714285715</v>
      </c>
      <c r="F56">
        <v>3329</v>
      </c>
      <c r="G56">
        <f t="shared" si="4"/>
        <v>5</v>
      </c>
      <c r="H56" s="5">
        <f t="shared" si="10"/>
        <v>1.4285714285714457E-3</v>
      </c>
      <c r="I56" s="5">
        <f t="shared" si="6"/>
        <v>1.5042117930204753E-3</v>
      </c>
      <c r="J56" s="5">
        <f t="shared" si="11"/>
        <v>2.8409090909090908E-2</v>
      </c>
    </row>
    <row r="57" spans="2:10">
      <c r="C57">
        <v>9</v>
      </c>
      <c r="D57">
        <f t="shared" si="8"/>
        <v>0.9534285714285714</v>
      </c>
      <c r="E57">
        <f t="shared" si="9"/>
        <v>0.10593650793650794</v>
      </c>
      <c r="F57">
        <v>3337</v>
      </c>
      <c r="G57">
        <f t="shared" si="4"/>
        <v>8</v>
      </c>
      <c r="H57" s="5">
        <f t="shared" si="10"/>
        <v>2.2857142857142243E-3</v>
      </c>
      <c r="I57" s="5">
        <f t="shared" si="6"/>
        <v>2.403124061279599E-3</v>
      </c>
      <c r="J57" s="5">
        <f t="shared" si="11"/>
        <v>4.6783625730994149E-2</v>
      </c>
    </row>
    <row r="58" spans="2:10">
      <c r="C58">
        <v>10</v>
      </c>
      <c r="D58">
        <f t="shared" si="8"/>
        <v>0.95514285714285718</v>
      </c>
      <c r="E58">
        <f t="shared" si="9"/>
        <v>9.5514285714285718E-2</v>
      </c>
      <c r="F58">
        <v>3343</v>
      </c>
      <c r="G58">
        <f t="shared" si="4"/>
        <v>6</v>
      </c>
      <c r="H58" s="5">
        <f t="shared" si="10"/>
        <v>1.7142857142857792E-3</v>
      </c>
      <c r="I58" s="5">
        <f t="shared" si="6"/>
        <v>1.7980221756069006E-3</v>
      </c>
      <c r="J58" s="5">
        <f t="shared" si="11"/>
        <v>3.6809815950920248E-2</v>
      </c>
    </row>
    <row r="59" spans="2:10">
      <c r="C59">
        <v>11</v>
      </c>
      <c r="D59">
        <f t="shared" si="8"/>
        <v>0.95599999999999996</v>
      </c>
      <c r="E59">
        <f t="shared" si="9"/>
        <v>8.6909090909090908E-2</v>
      </c>
      <c r="F59">
        <v>3346</v>
      </c>
      <c r="G59">
        <f t="shared" si="4"/>
        <v>3</v>
      </c>
      <c r="H59" s="5">
        <f t="shared" si="10"/>
        <v>8.571428571427786E-4</v>
      </c>
      <c r="I59" s="5">
        <f t="shared" si="6"/>
        <v>8.97397547113289E-4</v>
      </c>
      <c r="J59" s="5">
        <f t="shared" si="11"/>
        <v>1.9108280254777069E-2</v>
      </c>
    </row>
    <row r="60" spans="2:10">
      <c r="C60">
        <v>12</v>
      </c>
      <c r="D60">
        <f t="shared" si="8"/>
        <v>0.95657142857142852</v>
      </c>
      <c r="E60">
        <f t="shared" si="9"/>
        <v>7.971428571428571E-2</v>
      </c>
      <c r="F60">
        <v>3348</v>
      </c>
      <c r="G60">
        <f t="shared" si="4"/>
        <v>2</v>
      </c>
      <c r="H60" s="5">
        <f t="shared" si="10"/>
        <v>5.7142857142855608E-4</v>
      </c>
      <c r="I60" s="5">
        <f t="shared" si="6"/>
        <v>5.9772863120141856E-4</v>
      </c>
      <c r="J60" s="5">
        <f t="shared" si="11"/>
        <v>1.2987012987012988E-2</v>
      </c>
    </row>
    <row r="61" spans="2:10">
      <c r="C61">
        <v>13</v>
      </c>
      <c r="D61">
        <f t="shared" si="8"/>
        <v>0.95742857142857141</v>
      </c>
      <c r="E61">
        <f t="shared" si="9"/>
        <v>7.3648351648351651E-2</v>
      </c>
      <c r="F61">
        <v>3351</v>
      </c>
      <c r="G61">
        <f t="shared" si="4"/>
        <v>3</v>
      </c>
      <c r="H61" s="5">
        <f t="shared" si="10"/>
        <v>8.5714285714288962E-4</v>
      </c>
      <c r="I61" s="5">
        <f t="shared" si="6"/>
        <v>8.9605734767028494E-4</v>
      </c>
      <c r="J61" s="5">
        <f t="shared" si="11"/>
        <v>1.9736842105263157E-2</v>
      </c>
    </row>
    <row r="62" spans="2:10">
      <c r="C62">
        <v>14</v>
      </c>
      <c r="D62">
        <f t="shared" si="8"/>
        <v>0.95799999999999996</v>
      </c>
      <c r="E62">
        <f t="shared" si="9"/>
        <v>6.8428571428571422E-2</v>
      </c>
      <c r="F62">
        <v>3353</v>
      </c>
      <c r="G62">
        <f t="shared" si="4"/>
        <v>2</v>
      </c>
      <c r="H62" s="5">
        <f t="shared" si="10"/>
        <v>5.7142857142855608E-4</v>
      </c>
      <c r="I62" s="5">
        <f t="shared" si="6"/>
        <v>5.968367651447169E-4</v>
      </c>
      <c r="J62" s="5">
        <f t="shared" si="11"/>
        <v>1.3422818791946308E-2</v>
      </c>
    </row>
    <row r="63" spans="2:10">
      <c r="C63">
        <v>15</v>
      </c>
      <c r="D63">
        <f t="shared" si="8"/>
        <v>0.9582857142857143</v>
      </c>
      <c r="E63">
        <f t="shared" si="9"/>
        <v>6.3885714285714282E-2</v>
      </c>
      <c r="F63">
        <v>3354</v>
      </c>
      <c r="G63">
        <f t="shared" si="4"/>
        <v>1</v>
      </c>
      <c r="H63" s="5">
        <f t="shared" si="10"/>
        <v>2.8571428571433355E-4</v>
      </c>
      <c r="I63" s="5">
        <f t="shared" si="6"/>
        <v>2.9824038174773858E-4</v>
      </c>
      <c r="J63" s="5">
        <f t="shared" si="11"/>
        <v>6.8027210884353739E-3</v>
      </c>
    </row>
    <row r="64" spans="2:10">
      <c r="C64">
        <v>16</v>
      </c>
      <c r="D64">
        <f t="shared" si="8"/>
        <v>0.95885714285714285</v>
      </c>
      <c r="E64">
        <f t="shared" si="9"/>
        <v>5.9928571428571428E-2</v>
      </c>
      <c r="F64">
        <v>3356</v>
      </c>
      <c r="G64">
        <f t="shared" si="4"/>
        <v>2</v>
      </c>
      <c r="H64" s="5">
        <f t="shared" si="10"/>
        <v>5.7142857142855608E-4</v>
      </c>
      <c r="I64" s="5">
        <f t="shared" si="6"/>
        <v>5.9630292188430115E-4</v>
      </c>
      <c r="J64" s="5">
        <f t="shared" si="11"/>
        <v>1.3698630136986301E-2</v>
      </c>
    </row>
    <row r="65" spans="3:10">
      <c r="C65">
        <v>17</v>
      </c>
      <c r="D65">
        <f t="shared" si="8"/>
        <v>0.95971428571428574</v>
      </c>
      <c r="E65">
        <f t="shared" si="9"/>
        <v>5.6453781512605043E-2</v>
      </c>
      <c r="F65">
        <v>3359</v>
      </c>
      <c r="G65">
        <f t="shared" si="4"/>
        <v>3</v>
      </c>
      <c r="H65" s="5">
        <f t="shared" si="10"/>
        <v>8.5714285714288962E-4</v>
      </c>
      <c r="I65" s="5">
        <f t="shared" si="6"/>
        <v>8.9392133492256071E-4</v>
      </c>
      <c r="J65" s="5">
        <f t="shared" si="11"/>
        <v>2.0833333333333332E-2</v>
      </c>
    </row>
    <row r="66" spans="3:10">
      <c r="C66">
        <v>18</v>
      </c>
      <c r="D66">
        <f t="shared" si="8"/>
        <v>0.96057142857142852</v>
      </c>
      <c r="E66">
        <f t="shared" si="9"/>
        <v>5.3365079365079365E-2</v>
      </c>
      <c r="F66">
        <v>3362</v>
      </c>
      <c r="G66">
        <f t="shared" si="4"/>
        <v>3</v>
      </c>
      <c r="H66" s="5">
        <f t="shared" si="10"/>
        <v>8.571428571427786E-4</v>
      </c>
      <c r="I66" s="5">
        <f t="shared" si="6"/>
        <v>8.9312295325981689E-4</v>
      </c>
      <c r="J66" s="5">
        <f t="shared" si="11"/>
        <v>2.1276595744680851E-2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2025-03-30T13:53:28Z</dcterms:created>
  <dcterms:modified xsi:type="dcterms:W3CDTF">2025-04-06T22:40:32Z</dcterms:modified>
  <cp:category/>
  <cp:contentStatus/>
</cp:coreProperties>
</file>