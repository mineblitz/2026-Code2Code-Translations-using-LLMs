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<sst xmlns="http://schemas.openxmlformats.org/spreadsheetml/2006/main" count="16" uniqueCount="14">
  <si>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Experiment</t>
  </si>
  <si>
    <t xml:space="preserve">Model</t>
  </si>
  <si>
    <t xml:space="preserve">Aufrufe</t>
  </si>
  <si>
    <t xml:space="preserve">Qualität</t>
  </si>
  <si>
    <t xml:space="preserve">Ratio</t>
  </si>
  <si>
    <t xml:space="preserve">Absolute</t>
  </si>
  <si>
    <t xml:space="preserve">new fixed test per iteration</t>
  </si>
  <si>
    <t xml:space="preserve">verbesserung prozentpunkte</t>
  </si>
  <si>
    <t xml:space="preserve">verbesserung relativ</t>
  </si>
  <si>
    <t xml:space="preserve">% fixed of remaing errors</t>
  </si>
  <si>
    <t xml:space="preserve">Straightforward aproach</t>
  </si>
  <si>
    <t xml:space="preserve">gpt-4o-mini</t>
  </si>
  <si>
    <t xml:space="preserve">claude 3.7</t>
  </si>
  <si>
    <t xml:space="preserve">Retranslate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</si>
</sst>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 %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3671875" defaultRowHeight="15" customHeight="true" zeroHeight="false" outlineLevelRow="0" outlineLevelCol="0"/>
  <cols>
    <col collapsed="false" customWidth="true" hidden="false" outlineLevel="0" max="1" min="1" style="0" width="22.85"/>
    <col collapsed="false" customWidth="true" hidden="false" outlineLevel="0" max="2" min="2" style="0" width="14.72"/>
    <col collapsed="false" customWidth="true" hidden="false" outlineLevel="0" max="4" min="4" style="0" width="14.57"/>
    <col collapsed="false" customWidth="true" hidden="false" outlineLevel="0" max="7" min="7" style="0" width="23.29"/>
    <col collapsed="false" customWidth="true" hidden="false" outlineLevel="0" max="8" min="8" style="1" width="23.85"/>
    <col collapsed="false" customWidth="true" hidden="false" outlineLevel="0" max="9" min="9" style="1" width="18.71"/>
    <col collapsed="false" customWidth="true" hidden="false" outlineLevel="0" max="10" min="10" style="0" width="21.85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n">
        <v>1</v>
      </c>
      <c r="D2" s="0" t="n">
        <f aca="false">F2/3500</f>
        <v>0.644285714285714</v>
      </c>
      <c r="E2" s="0" t="n">
        <f aca="false">D2/C2</f>
        <v>0.644285714285714</v>
      </c>
      <c r="F2" s="0" t="n">
        <v>2255</v>
      </c>
      <c r="G2" s="0" t="n">
        <f aca="false">F2-0</f>
        <v>2255</v>
      </c>
      <c r="H2" s="1" t="n">
        <f aca="false">D2</f>
        <v>0.644285714285714</v>
      </c>
      <c r="I2" s="1" t="n">
        <f aca="false">E2</f>
        <v>0.644285714285714</v>
      </c>
    </row>
    <row r="3" s="2" customFormat="true" ht="15" hidden="false" customHeight="false" outlineLevel="0" collapsed="false">
      <c r="B3" s="2" t="s">
        <v>12</v>
      </c>
      <c r="C3" s="2" t="n">
        <v>1</v>
      </c>
      <c r="D3" s="2" t="n">
        <f aca="false">F3/3500</f>
        <v>0.832857142857143</v>
      </c>
      <c r="E3" s="2" t="n">
        <f aca="false">D3/C3</f>
        <v>0.832857142857143</v>
      </c>
      <c r="F3" s="2" t="n">
        <v>2915</v>
      </c>
      <c r="G3" s="2" t="n">
        <f aca="false">F3-0</f>
        <v>2915</v>
      </c>
      <c r="H3" s="3" t="n">
        <f aca="false">D3</f>
        <v>0.832857142857143</v>
      </c>
      <c r="I3" s="3" t="n">
        <f aca="false">E3</f>
        <v>0.832857142857143</v>
      </c>
    </row>
    <row r="4" customFormat="false" ht="15" hidden="false" customHeight="false" outlineLevel="0" collapsed="false">
      <c r="A4" s="0" t="s">
        <v>13</v>
      </c>
      <c r="B4" s="0" t="s">
        <v>11</v>
      </c>
      <c r="C4" s="0" t="n">
        <v>1</v>
      </c>
      <c r="D4" s="0" t="n">
        <f aca="false">F4/3500</f>
        <v>0.644285714285714</v>
      </c>
      <c r="E4" s="0" t="n">
        <f aca="false">D4/C4</f>
        <v>0.644285714285714</v>
      </c>
      <c r="F4" s="0" t="n">
        <v>2255</v>
      </c>
      <c r="G4" s="0" t="n">
        <f aca="false">F4-0</f>
        <v>2255</v>
      </c>
      <c r="H4" s="1" t="n">
        <f aca="false">D4</f>
        <v>0.644285714285714</v>
      </c>
      <c r="I4" s="1" t="n">
        <f aca="false">E4</f>
        <v>0.644285714285714</v>
      </c>
    </row>
    <row r="5" customFormat="false" ht="15" hidden="false" customHeight="false" outlineLevel="0" collapsed="false">
      <c r="C5" s="0" t="n">
        <v>2</v>
      </c>
      <c r="D5" s="0" t="n">
        <f aca="false">F5/3500</f>
        <v>0.758571428571429</v>
      </c>
      <c r="E5" s="0" t="n">
        <f aca="false">D5/C5</f>
        <v>0.379285714285714</v>
      </c>
      <c r="F5" s="0" t="n">
        <v>2655</v>
      </c>
      <c r="G5" s="0" t="n">
        <f aca="false">F5-F4</f>
        <v>400</v>
      </c>
      <c r="H5" s="1" t="n">
        <f aca="false">D5-D4</f>
        <v>0.114285714285714</v>
      </c>
      <c r="I5" s="1" t="n">
        <f aca="false">(D5-D4)/D4</f>
        <v>0.177383592017738</v>
      </c>
      <c r="J5" s="1" t="n">
        <f aca="false">G5/(3500-F4)</f>
        <v>0.321285140562249</v>
      </c>
    </row>
    <row r="6" customFormat="false" ht="15" hidden="false" customHeight="false" outlineLevel="0" collapsed="false">
      <c r="C6" s="0" t="n">
        <v>3</v>
      </c>
      <c r="D6" s="0" t="n">
        <f aca="false">F6/3500</f>
        <v>0.795142857142857</v>
      </c>
      <c r="E6" s="0" t="n">
        <f aca="false">D6/C6</f>
        <v>0.265047619047619</v>
      </c>
      <c r="F6" s="0" t="n">
        <v>2783</v>
      </c>
      <c r="G6" s="0" t="n">
        <f aca="false">F6-F5</f>
        <v>128</v>
      </c>
      <c r="H6" s="1" t="n">
        <f aca="false">D6-D5</f>
        <v>0.0365714285714286</v>
      </c>
      <c r="I6" s="1" t="n">
        <f aca="false">(D6-D5)/D5</f>
        <v>0.048210922787194</v>
      </c>
      <c r="J6" s="1" t="n">
        <f aca="false">G6/(3500-F5)</f>
        <v>0.151479289940828</v>
      </c>
    </row>
    <row r="7" customFormat="false" ht="15" hidden="false" customHeight="false" outlineLevel="0" collapsed="false">
      <c r="C7" s="0" t="n">
        <v>4</v>
      </c>
      <c r="D7" s="0" t="n">
        <f aca="false">F7/3500</f>
        <v>0.814285714285714</v>
      </c>
      <c r="E7" s="0" t="n">
        <f aca="false">D7/C7</f>
        <v>0.203571428571429</v>
      </c>
      <c r="F7" s="0" t="n">
        <v>2850</v>
      </c>
      <c r="G7" s="0" t="n">
        <f aca="false">F7-F6</f>
        <v>67</v>
      </c>
      <c r="H7" s="1" t="n">
        <f aca="false">D7-D6</f>
        <v>0.0191428571428571</v>
      </c>
      <c r="I7" s="1" t="n">
        <f aca="false">(D7-D6)/D6</f>
        <v>0.0240747394897592</v>
      </c>
      <c r="J7" s="1" t="n">
        <f aca="false">G7/(3500-F6)</f>
        <v>0.0934449093444909</v>
      </c>
    </row>
    <row r="8" customFormat="false" ht="15" hidden="false" customHeight="false" outlineLevel="0" collapsed="false">
      <c r="C8" s="0" t="n">
        <v>5</v>
      </c>
      <c r="D8" s="0" t="n">
        <f aca="false">F8/3500</f>
        <v>0.826571428571429</v>
      </c>
      <c r="E8" s="0" t="n">
        <f aca="false">D8/C8</f>
        <v>0.165314285714286</v>
      </c>
      <c r="F8" s="0" t="n">
        <v>2893</v>
      </c>
      <c r="G8" s="0" t="n">
        <f aca="false">F8-F7</f>
        <v>43</v>
      </c>
      <c r="H8" s="1" t="n">
        <f aca="false">D8-D7</f>
        <v>0.0122857142857143</v>
      </c>
      <c r="I8" s="1" t="n">
        <f aca="false">(D8-D7)/D7</f>
        <v>0.0150877192982457</v>
      </c>
      <c r="J8" s="1" t="n">
        <f aca="false">G8/(3500-F7)</f>
        <v>0.0661538461538462</v>
      </c>
    </row>
    <row r="9" customFormat="false" ht="15" hidden="false" customHeight="false" outlineLevel="0" collapsed="false">
      <c r="C9" s="0" t="n">
        <v>6</v>
      </c>
      <c r="D9" s="0" t="n">
        <f aca="false">F9/3500</f>
        <v>0.834</v>
      </c>
      <c r="E9" s="0" t="n">
        <f aca="false">D9/C9</f>
        <v>0.139</v>
      </c>
      <c r="F9" s="0" t="n">
        <v>2919</v>
      </c>
      <c r="G9" s="0" t="n">
        <f aca="false">F9-F8</f>
        <v>26</v>
      </c>
      <c r="H9" s="1" t="n">
        <f aca="false">D9-D8</f>
        <v>0.00742857142857134</v>
      </c>
      <c r="I9" s="1" t="n">
        <f aca="false">(D9-D8)/D8</f>
        <v>0.00898721050812295</v>
      </c>
      <c r="J9" s="1" t="n">
        <f aca="false">G9/(3500-F8)</f>
        <v>0.042833607907743</v>
      </c>
    </row>
    <row r="10" customFormat="false" ht="15" hidden="false" customHeight="false" outlineLevel="0" collapsed="false">
      <c r="C10" s="0" t="n">
        <v>7</v>
      </c>
      <c r="D10" s="0" t="n">
        <f aca="false">F10/3500</f>
        <v>0.840285714285714</v>
      </c>
      <c r="E10" s="0" t="n">
        <f aca="false">D10/C10</f>
        <v>0.120040816326531</v>
      </c>
      <c r="F10" s="0" t="n">
        <v>2941</v>
      </c>
      <c r="G10" s="0" t="n">
        <f aca="false">F10-F9</f>
        <v>22</v>
      </c>
      <c r="H10" s="1" t="n">
        <f aca="false">D10-D9</f>
        <v>0.00628571428571434</v>
      </c>
      <c r="I10" s="1" t="n">
        <f aca="false">(D10-D9)/D9</f>
        <v>0.00753682768071264</v>
      </c>
      <c r="J10" s="1" t="n">
        <f aca="false">G10/(3500-F9)</f>
        <v>0.0378657487091222</v>
      </c>
    </row>
    <row r="11" customFormat="false" ht="15" hidden="false" customHeight="false" outlineLevel="0" collapsed="false">
      <c r="C11" s="0" t="n">
        <v>8</v>
      </c>
      <c r="D11" s="0" t="n">
        <f aca="false">F11/3500</f>
        <v>0.848</v>
      </c>
      <c r="E11" s="0" t="n">
        <f aca="false">D11/C11</f>
        <v>0.106</v>
      </c>
      <c r="F11" s="0" t="n">
        <v>2968</v>
      </c>
      <c r="G11" s="0" t="n">
        <f aca="false">F11-F10</f>
        <v>27</v>
      </c>
      <c r="H11" s="1" t="n">
        <f aca="false">D11-D10</f>
        <v>0.00771428571428567</v>
      </c>
      <c r="I11" s="1" t="n">
        <f aca="false">(D11-D10)/D10</f>
        <v>0.00918055083304993</v>
      </c>
      <c r="J11" s="1" t="n">
        <f aca="false">G11/(3500-F10)</f>
        <v>0.0483005366726297</v>
      </c>
    </row>
    <row r="12" customFormat="false" ht="15" hidden="false" customHeight="false" outlineLevel="0" collapsed="false">
      <c r="C12" s="0" t="n">
        <v>9</v>
      </c>
      <c r="D12" s="0" t="n">
        <f aca="false">F12/3500</f>
        <v>0.852</v>
      </c>
      <c r="E12" s="0" t="n">
        <f aca="false">D12/C12</f>
        <v>0.0946666666666667</v>
      </c>
      <c r="F12" s="0" t="n">
        <v>2982</v>
      </c>
      <c r="G12" s="0" t="n">
        <f aca="false">F12-F11</f>
        <v>14</v>
      </c>
      <c r="H12" s="1" t="n">
        <f aca="false">D12-D11</f>
        <v>0.004</v>
      </c>
      <c r="I12" s="1" t="n">
        <f aca="false">(D12-D11)/D11</f>
        <v>0.00471698113207548</v>
      </c>
      <c r="J12" s="1" t="n">
        <f aca="false">G12/(3500-F11)</f>
        <v>0.0263157894736842</v>
      </c>
    </row>
    <row r="13" customFormat="false" ht="15" hidden="false" customHeight="false" outlineLevel="0" collapsed="false">
      <c r="C13" s="0" t="n">
        <v>10</v>
      </c>
      <c r="D13" s="0" t="n">
        <f aca="false">F13/3500</f>
        <v>0.854285714285714</v>
      </c>
      <c r="E13" s="0" t="n">
        <f aca="false">D13/C13</f>
        <v>0.0854285714285714</v>
      </c>
      <c r="F13" s="0" t="n">
        <v>2990</v>
      </c>
      <c r="G13" s="0" t="n">
        <f aca="false">F13-F12</f>
        <v>8</v>
      </c>
      <c r="H13" s="1" t="n">
        <f aca="false">D13-D12</f>
        <v>0.00228571428571434</v>
      </c>
      <c r="I13" s="1" t="n">
        <f aca="false">(D13-D12)/D12</f>
        <v>0.00268276324614359</v>
      </c>
      <c r="J13" s="1" t="n">
        <f aca="false">G13/(3500-F12)</f>
        <v>0.0154440154440154</v>
      </c>
    </row>
    <row r="14" customFormat="false" ht="15" hidden="false" customHeight="false" outlineLevel="0" collapsed="false">
      <c r="C14" s="0" t="n">
        <v>11</v>
      </c>
      <c r="D14" s="0" t="n">
        <f aca="false">F14/3500</f>
        <v>0.858857142857143</v>
      </c>
      <c r="E14" s="0" t="n">
        <f aca="false">D14/C14</f>
        <v>0.0780779220779221</v>
      </c>
      <c r="F14" s="0" t="n">
        <v>3006</v>
      </c>
      <c r="G14" s="0" t="n">
        <f aca="false">F14-F13</f>
        <v>16</v>
      </c>
      <c r="H14" s="1" t="n">
        <f aca="false">D14-D13</f>
        <v>0.00457142857142856</v>
      </c>
      <c r="I14" s="1" t="n">
        <f aca="false">(D14-D13)/D13</f>
        <v>0.00535117056856186</v>
      </c>
      <c r="J14" s="1" t="n">
        <f aca="false">G14/(3500-F13)</f>
        <v>0.0313725490196078</v>
      </c>
    </row>
    <row r="15" customFormat="false" ht="15" hidden="false" customHeight="false" outlineLevel="0" collapsed="false">
      <c r="C15" s="0" t="n">
        <v>12</v>
      </c>
      <c r="D15" s="0" t="n">
        <f aca="false">F15/3500</f>
        <v>0.861428571428571</v>
      </c>
      <c r="E15" s="0" t="n">
        <f aca="false">D15/C15</f>
        <v>0.0717857142857143</v>
      </c>
      <c r="F15" s="0" t="n">
        <v>3015</v>
      </c>
      <c r="G15" s="0" t="n">
        <f aca="false">F15-F14</f>
        <v>9</v>
      </c>
      <c r="H15" s="1" t="n">
        <f aca="false">D15-D14</f>
        <v>0.00257142857142856</v>
      </c>
      <c r="I15" s="1" t="n">
        <f aca="false">(D15-D14)/D14</f>
        <v>0.00299401197604789</v>
      </c>
      <c r="J15" s="1" t="n">
        <f aca="false">G15/(3500-F14)</f>
        <v>0.0182186234817814</v>
      </c>
    </row>
    <row r="16" customFormat="false" ht="15" hidden="false" customHeight="false" outlineLevel="0" collapsed="false">
      <c r="C16" s="0" t="n">
        <v>13</v>
      </c>
      <c r="D16" s="0" t="n">
        <f aca="false">F16/3500</f>
        <v>0.863142857142857</v>
      </c>
      <c r="E16" s="0" t="n">
        <f aca="false">D16/C16</f>
        <v>0.0663956043956044</v>
      </c>
      <c r="F16" s="0" t="n">
        <v>3021</v>
      </c>
      <c r="G16" s="0" t="n">
        <f aca="false">F16-F15</f>
        <v>6</v>
      </c>
      <c r="H16" s="1" t="n">
        <f aca="false">D16-D15</f>
        <v>0.00171428571428567</v>
      </c>
      <c r="I16" s="1" t="n">
        <f aca="false">(D16-D15)/D15</f>
        <v>0.00199004975124373</v>
      </c>
      <c r="J16" s="1" t="n">
        <f aca="false">G16/(3500-F15)</f>
        <v>0.0123711340206186</v>
      </c>
    </row>
    <row r="17" customFormat="false" ht="15" hidden="false" customHeight="false" outlineLevel="0" collapsed="false">
      <c r="C17" s="0" t="n">
        <v>14</v>
      </c>
      <c r="D17" s="0" t="n">
        <f aca="false">F17/3500</f>
        <v>0.865714285714286</v>
      </c>
      <c r="E17" s="0" t="n">
        <f aca="false">D17/C17</f>
        <v>0.0618367346938776</v>
      </c>
      <c r="F17" s="0" t="n">
        <v>3030</v>
      </c>
      <c r="G17" s="0" t="n">
        <f aca="false">F17-F16</f>
        <v>9</v>
      </c>
      <c r="H17" s="1" t="n">
        <f aca="false">D17-D16</f>
        <v>0.00257142857142867</v>
      </c>
      <c r="I17" s="1" t="n">
        <f aca="false">(D17-D16)/D16</f>
        <v>0.00297914597815304</v>
      </c>
      <c r="J17" s="1" t="n">
        <f aca="false">G17/(3500-F16)</f>
        <v>0.0187891440501044</v>
      </c>
    </row>
    <row r="18" customFormat="false" ht="15" hidden="false" customHeight="false" outlineLevel="0" collapsed="false">
      <c r="C18" s="0" t="n">
        <v>15</v>
      </c>
      <c r="D18" s="0" t="n">
        <f aca="false">F18/3500</f>
        <v>0.869428571428571</v>
      </c>
      <c r="E18" s="0" t="n">
        <f aca="false">D18/C18</f>
        <v>0.0579619047619048</v>
      </c>
      <c r="F18" s="0" t="n">
        <v>3043</v>
      </c>
      <c r="G18" s="0" t="n">
        <f aca="false">F18-F17</f>
        <v>13</v>
      </c>
      <c r="H18" s="1" t="n">
        <f aca="false">D18-D17</f>
        <v>0.00371428571428567</v>
      </c>
      <c r="I18" s="1" t="n">
        <f aca="false">(D18-D17)/D17</f>
        <v>0.00429042904290424</v>
      </c>
      <c r="J18" s="1" t="n">
        <f aca="false">G18/(3500-F17)</f>
        <v>0.0276595744680851</v>
      </c>
    </row>
    <row r="19" customFormat="false" ht="15" hidden="false" customHeight="false" outlineLevel="0" collapsed="false">
      <c r="C19" s="0" t="n">
        <v>16</v>
      </c>
      <c r="D19" s="0" t="n">
        <f aca="false">F19/3500</f>
        <v>0.871428571428571</v>
      </c>
      <c r="E19" s="0" t="n">
        <f aca="false">D19/C19</f>
        <v>0.0544642857142857</v>
      </c>
      <c r="F19" s="0" t="n">
        <v>3050</v>
      </c>
      <c r="G19" s="0" t="n">
        <f aca="false">F19-F18</f>
        <v>7</v>
      </c>
      <c r="H19" s="1" t="n">
        <f aca="false">D19-D18</f>
        <v>0.002</v>
      </c>
      <c r="I19" s="1" t="n">
        <f aca="false">(D19-D18)/D18</f>
        <v>0.00230036148537628</v>
      </c>
      <c r="J19" s="1" t="n">
        <f aca="false">G19/(3500-F18)</f>
        <v>0.0153172866520788</v>
      </c>
    </row>
    <row r="20" customFormat="false" ht="15" hidden="false" customHeight="false" outlineLevel="0" collapsed="false">
      <c r="C20" s="0" t="n">
        <v>17</v>
      </c>
      <c r="D20" s="0" t="n">
        <f aca="false">F20/3500</f>
        <v>0.872857142857143</v>
      </c>
      <c r="E20" s="0" t="n">
        <f aca="false">D20/C20</f>
        <v>0.0513445378151261</v>
      </c>
      <c r="F20" s="0" t="n">
        <v>3055</v>
      </c>
      <c r="G20" s="0" t="n">
        <f aca="false">F20-F19</f>
        <v>5</v>
      </c>
      <c r="H20" s="1" t="n">
        <f aca="false">D20-D19</f>
        <v>0.00142857142857145</v>
      </c>
      <c r="I20" s="1" t="n">
        <f aca="false">(D20-D19)/D19</f>
        <v>0.0016393442622951</v>
      </c>
      <c r="J20" s="1" t="n">
        <f aca="false">G20/(3500-F19)</f>
        <v>0.0111111111111111</v>
      </c>
    </row>
    <row r="21" customFormat="false" ht="15" hidden="false" customHeight="false" outlineLevel="0" collapsed="false">
      <c r="C21" s="0" t="n">
        <v>18</v>
      </c>
      <c r="D21" s="0" t="n">
        <f aca="false">F21/3500</f>
        <v>0.875714285714286</v>
      </c>
      <c r="E21" s="0" t="n">
        <f aca="false">D21/C21</f>
        <v>0.0486507936507936</v>
      </c>
      <c r="F21" s="0" t="n">
        <v>3065</v>
      </c>
      <c r="G21" s="0" t="n">
        <f aca="false">F21-F20</f>
        <v>10</v>
      </c>
      <c r="H21" s="1" t="n">
        <f aca="false">D21-D20</f>
        <v>0.00285714285714278</v>
      </c>
      <c r="I21" s="1" t="n">
        <f aca="false">(D21-D20)/D20</f>
        <v>0.0032733224222585</v>
      </c>
      <c r="J21" s="1" t="n">
        <f aca="false">G21/(3500-F20)</f>
        <v>0.0224719101123596</v>
      </c>
    </row>
    <row r="22" customFormat="false" ht="15" hidden="false" customHeight="false" outlineLevel="0" collapsed="false">
      <c r="C22" s="0" t="n">
        <v>19</v>
      </c>
      <c r="D22" s="0" t="n">
        <f aca="false">F22/3500</f>
        <v>0.877428571428571</v>
      </c>
      <c r="E22" s="0" t="n">
        <f aca="false">D22/C22</f>
        <v>0.0461804511278196</v>
      </c>
      <c r="F22" s="0" t="n">
        <v>3071</v>
      </c>
      <c r="G22" s="0" t="n">
        <f aca="false">F22-F21</f>
        <v>6</v>
      </c>
      <c r="H22" s="1" t="n">
        <f aca="false">D22-D21</f>
        <v>0.00171428571428578</v>
      </c>
      <c r="I22" s="1" t="n">
        <f aca="false">(D22-D21)/D21</f>
        <v>0.00195758564437202</v>
      </c>
      <c r="J22" s="1" t="n">
        <f aca="false">G22/(3500-F21)</f>
        <v>0.0137931034482759</v>
      </c>
    </row>
    <row r="23" customFormat="false" ht="15" hidden="false" customHeight="false" outlineLevel="0" collapsed="false">
      <c r="C23" s="0" t="n">
        <v>20</v>
      </c>
      <c r="D23" s="0" t="n">
        <f aca="false">F23/3500</f>
        <v>0.878</v>
      </c>
      <c r="E23" s="0" t="n">
        <f aca="false">D23/C23</f>
        <v>0.0439</v>
      </c>
      <c r="F23" s="0" t="n">
        <v>3073</v>
      </c>
      <c r="G23" s="0" t="n">
        <f aca="false">F23-F22</f>
        <v>2</v>
      </c>
      <c r="H23" s="1" t="n">
        <f aca="false">D23-D22</f>
        <v>0.000571428571428556</v>
      </c>
      <c r="I23" s="1" t="n">
        <f aca="false">(D23-D22)/D22</f>
        <v>0.000651253663301839</v>
      </c>
      <c r="J23" s="1" t="n">
        <f aca="false">G23/(3500-F22)</f>
        <v>0.00466200466200466</v>
      </c>
    </row>
    <row r="24" customFormat="false" ht="15" hidden="false" customHeight="false" outlineLevel="0" collapsed="false">
      <c r="C24" s="0" t="n">
        <v>21</v>
      </c>
      <c r="D24" s="0" t="n">
        <f aca="false">F24/3500</f>
        <v>0.878857142857143</v>
      </c>
      <c r="E24" s="0" t="n">
        <f aca="false">D24/C24</f>
        <v>0.0418503401360544</v>
      </c>
      <c r="F24" s="0" t="n">
        <v>3076</v>
      </c>
      <c r="G24" s="0" t="n">
        <f aca="false">F24-F23</f>
        <v>3</v>
      </c>
      <c r="H24" s="1" t="n">
        <f aca="false">D24-D23</f>
        <v>0.00085714285714289</v>
      </c>
      <c r="I24" s="1" t="n">
        <f aca="false">(D24-D23)/D23</f>
        <v>0.000976244712007847</v>
      </c>
      <c r="J24" s="1" t="n">
        <f aca="false">G24/(3500-F23)</f>
        <v>0.00702576112412178</v>
      </c>
    </row>
    <row r="25" customFormat="false" ht="15" hidden="false" customHeight="false" outlineLevel="0" collapsed="false">
      <c r="C25" s="0" t="n">
        <v>22</v>
      </c>
      <c r="D25" s="0" t="n">
        <f aca="false">F25/3500</f>
        <v>0.88</v>
      </c>
      <c r="E25" s="0" t="n">
        <f aca="false">D25/C25</f>
        <v>0.04</v>
      </c>
      <c r="F25" s="0" t="n">
        <v>3080</v>
      </c>
      <c r="G25" s="0" t="n">
        <f aca="false">F25-F24</f>
        <v>4</v>
      </c>
      <c r="H25" s="1" t="n">
        <f aca="false">D25-D24</f>
        <v>0.00114285714285711</v>
      </c>
      <c r="I25" s="1" t="n">
        <f aca="false">(D25-D24)/D24</f>
        <v>0.00130039011703508</v>
      </c>
      <c r="J25" s="1" t="n">
        <f aca="false">G25/(3500-F24)</f>
        <v>0.00943396226415094</v>
      </c>
    </row>
    <row r="26" customFormat="false" ht="15" hidden="false" customHeight="false" outlineLevel="0" collapsed="false">
      <c r="C26" s="0" t="n">
        <v>23</v>
      </c>
      <c r="D26" s="0" t="n">
        <f aca="false">F26/3500</f>
        <v>0.881714285714286</v>
      </c>
      <c r="E26" s="0" t="n">
        <f aca="false">D26/C26</f>
        <v>0.0383354037267081</v>
      </c>
      <c r="F26" s="0" t="n">
        <v>3086</v>
      </c>
      <c r="G26" s="0" t="n">
        <f aca="false">F26-F25</f>
        <v>6</v>
      </c>
      <c r="H26" s="1" t="n">
        <f aca="false">D26-D25</f>
        <v>0.00171428571428567</v>
      </c>
      <c r="I26" s="1" t="n">
        <f aca="false">(D26-D25)/D25</f>
        <v>0.0019480519480519</v>
      </c>
      <c r="J26" s="1" t="n">
        <f aca="false">G26/(3500-F25)</f>
        <v>0.0142857142857143</v>
      </c>
    </row>
    <row r="27" customFormat="false" ht="15" hidden="false" customHeight="false" outlineLevel="0" collapsed="false">
      <c r="C27" s="0" t="n">
        <v>24</v>
      </c>
      <c r="D27" s="0" t="n">
        <f aca="false">F27/3500</f>
        <v>0.883142857142857</v>
      </c>
      <c r="E27" s="0" t="n">
        <f aca="false">D27/C27</f>
        <v>0.036797619047619</v>
      </c>
      <c r="F27" s="0" t="n">
        <v>3091</v>
      </c>
      <c r="G27" s="0" t="n">
        <f aca="false">F27-F26</f>
        <v>5</v>
      </c>
      <c r="H27" s="1" t="n">
        <f aca="false">D27-D26</f>
        <v>0.00142857142857145</v>
      </c>
      <c r="I27" s="1" t="n">
        <f aca="false">(D27-D26)/D26</f>
        <v>0.00162022034996762</v>
      </c>
      <c r="J27" s="1" t="n">
        <f aca="false">G27/(3500-F26)</f>
        <v>0.0120772946859903</v>
      </c>
    </row>
    <row r="28" customFormat="false" ht="15" hidden="false" customHeight="false" outlineLevel="0" collapsed="false">
      <c r="C28" s="0" t="n">
        <v>25</v>
      </c>
      <c r="D28" s="0" t="n">
        <f aca="false">F28/3500</f>
        <v>0.883714285714286</v>
      </c>
      <c r="E28" s="0" t="n">
        <f aca="false">D28/C28</f>
        <v>0.0353485714285714</v>
      </c>
      <c r="F28" s="0" t="n">
        <v>3093</v>
      </c>
      <c r="G28" s="0" t="n">
        <f aca="false">F28-F27</f>
        <v>2</v>
      </c>
      <c r="H28" s="1" t="n">
        <f aca="false">D28-D27</f>
        <v>0.000571428571428556</v>
      </c>
      <c r="I28" s="1" t="n">
        <f aca="false">(D28-D27)/D27</f>
        <v>0.000647039792947249</v>
      </c>
      <c r="J28" s="1" t="n">
        <f aca="false">G28/(3500-F27)</f>
        <v>0.00488997555012225</v>
      </c>
    </row>
    <row r="29" customFormat="false" ht="15" hidden="false" customHeight="false" outlineLevel="0" collapsed="false">
      <c r="C29" s="0" t="n">
        <v>26</v>
      </c>
      <c r="D29" s="0" t="n">
        <f aca="false">F29/3500</f>
        <v>0.884285714285714</v>
      </c>
      <c r="E29" s="0" t="n">
        <f aca="false">D29/C29</f>
        <v>0.034010989010989</v>
      </c>
      <c r="F29" s="0" t="n">
        <v>3095</v>
      </c>
      <c r="G29" s="0" t="n">
        <f aca="false">F29-F28</f>
        <v>2</v>
      </c>
      <c r="H29" s="1" t="n">
        <f aca="false">D29-D28</f>
        <v>0.000571428571428556</v>
      </c>
      <c r="I29" s="1" t="n">
        <f aca="false">(D29-D28)/D28</f>
        <v>0.000646621403168428</v>
      </c>
      <c r="J29" s="1" t="n">
        <f aca="false">G29/(3500-F28)</f>
        <v>0.00491400491400491</v>
      </c>
    </row>
    <row r="30" customFormat="false" ht="15" hidden="false" customHeight="false" outlineLevel="0" collapsed="false">
      <c r="C30" s="0" t="n">
        <v>27</v>
      </c>
      <c r="D30" s="0" t="n">
        <f aca="false">F30/3500</f>
        <v>0.885714285714286</v>
      </c>
      <c r="E30" s="0" t="n">
        <f aca="false">D30/C30</f>
        <v>0.0328042328042328</v>
      </c>
      <c r="F30" s="0" t="n">
        <v>3100</v>
      </c>
      <c r="G30" s="0" t="n">
        <f aca="false">F30-F29</f>
        <v>5</v>
      </c>
      <c r="H30" s="1" t="n">
        <f aca="false">D30-D29</f>
        <v>0.00142857142857145</v>
      </c>
      <c r="I30" s="1" t="n">
        <f aca="false">(D30-D29)/D29</f>
        <v>0.00161550888529889</v>
      </c>
      <c r="J30" s="1" t="n">
        <f aca="false">G30/(3500-F29)</f>
        <v>0.0123456790123457</v>
      </c>
    </row>
    <row r="31" customFormat="false" ht="15" hidden="false" customHeight="false" outlineLevel="0" collapsed="false">
      <c r="C31" s="0" t="n">
        <v>28</v>
      </c>
      <c r="D31" s="0" t="n">
        <f aca="false">F31/3500</f>
        <v>0.886571428571429</v>
      </c>
      <c r="E31" s="0" t="n">
        <f aca="false">D31/C31</f>
        <v>0.0316632653061225</v>
      </c>
      <c r="F31" s="0" t="n">
        <v>3103</v>
      </c>
      <c r="G31" s="0" t="n">
        <f aca="false">F31-F30</f>
        <v>3</v>
      </c>
      <c r="H31" s="1" t="n">
        <f aca="false">D31-D30</f>
        <v>0.00085714285714289</v>
      </c>
      <c r="I31" s="1" t="n">
        <f aca="false">(D31-D30)/D30</f>
        <v>0.000967741935483908</v>
      </c>
      <c r="J31" s="1" t="n">
        <f aca="false">G31/(3500-F30)</f>
        <v>0.0075</v>
      </c>
    </row>
    <row r="32" customFormat="false" ht="15" hidden="false" customHeight="false" outlineLevel="0" collapsed="false">
      <c r="C32" s="0" t="n">
        <v>29</v>
      </c>
      <c r="D32" s="0" t="n">
        <f aca="false">F32/3500</f>
        <v>0.887428571428572</v>
      </c>
      <c r="E32" s="0" t="n">
        <f aca="false">D32/C32</f>
        <v>0.0306009852216749</v>
      </c>
      <c r="F32" s="0" t="n">
        <v>3106</v>
      </c>
      <c r="G32" s="0" t="n">
        <f aca="false">F32-F31</f>
        <v>3</v>
      </c>
      <c r="H32" s="1" t="n">
        <f aca="false">D32-D31</f>
        <v>0.00085714285714289</v>
      </c>
      <c r="I32" s="1" t="n">
        <f aca="false">(D32-D31)/D31</f>
        <v>0.000966806316467971</v>
      </c>
      <c r="J32" s="1" t="n">
        <f aca="false">G32/(3500-F31)</f>
        <v>0.00755667506297229</v>
      </c>
    </row>
    <row r="33" customFormat="false" ht="15" hidden="false" customHeight="false" outlineLevel="0" collapsed="false">
      <c r="C33" s="0" t="n">
        <v>30</v>
      </c>
      <c r="D33" s="0" t="n">
        <f aca="false">F33/3500</f>
        <v>0.888571428571429</v>
      </c>
      <c r="E33" s="0" t="n">
        <f aca="false">D33/C33</f>
        <v>0.0296190476190476</v>
      </c>
      <c r="F33" s="0" t="n">
        <v>3110</v>
      </c>
      <c r="G33" s="0" t="n">
        <f aca="false">F33-F32</f>
        <v>4</v>
      </c>
      <c r="H33" s="1" t="n">
        <f aca="false">D33-D32</f>
        <v>0.00114285714285711</v>
      </c>
      <c r="I33" s="1" t="n">
        <f aca="false">(D33-D32)/D32</f>
        <v>0.00128783000643912</v>
      </c>
      <c r="J33" s="1" t="n">
        <f aca="false">G33/(3500-F32)</f>
        <v>0.0101522842639594</v>
      </c>
    </row>
    <row r="34" customFormat="false" ht="15" hidden="false" customHeight="false" outlineLevel="0" collapsed="false">
      <c r="C34" s="0" t="n">
        <v>31</v>
      </c>
      <c r="D34" s="0" t="n">
        <f aca="false">F34/3500</f>
        <v>0.889142857142857</v>
      </c>
      <c r="E34" s="0" t="n">
        <f aca="false">D34/C34</f>
        <v>0.0286820276497696</v>
      </c>
      <c r="F34" s="0" t="n">
        <v>3112</v>
      </c>
      <c r="G34" s="0" t="n">
        <f aca="false">F34-F33</f>
        <v>2</v>
      </c>
      <c r="H34" s="1" t="n">
        <f aca="false">D34-D33</f>
        <v>0.000571428571428556</v>
      </c>
      <c r="I34" s="1" t="n">
        <f aca="false">(D34-D33)/D33</f>
        <v>0.00064308681672024</v>
      </c>
      <c r="J34" s="1" t="n">
        <f aca="false">G34/(3500-F33)</f>
        <v>0.00512820512820513</v>
      </c>
    </row>
    <row r="35" customFormat="false" ht="15" hidden="false" customHeight="false" outlineLevel="0" collapsed="false">
      <c r="C35" s="0" t="n">
        <v>32</v>
      </c>
      <c r="D35" s="0" t="n">
        <f aca="false">F35/3500</f>
        <v>0.890571428571429</v>
      </c>
      <c r="E35" s="0" t="n">
        <f aca="false">D35/C35</f>
        <v>0.0278303571428571</v>
      </c>
      <c r="F35" s="0" t="n">
        <v>3117</v>
      </c>
      <c r="G35" s="0" t="n">
        <f aca="false">F35-F34</f>
        <v>5</v>
      </c>
      <c r="H35" s="1" t="n">
        <f aca="false">D35-D34</f>
        <v>0.00142857142857145</v>
      </c>
      <c r="I35" s="1" t="n">
        <f aca="false">(D35-D34)/D34</f>
        <v>0.00160668380462727</v>
      </c>
      <c r="J35" s="1" t="n">
        <f aca="false">G35/(3500-F34)</f>
        <v>0.0128865979381443</v>
      </c>
    </row>
    <row r="36" customFormat="false" ht="15" hidden="false" customHeight="false" outlineLevel="0" collapsed="false">
      <c r="C36" s="0" t="n">
        <v>33</v>
      </c>
      <c r="D36" s="0" t="n">
        <f aca="false">F36/3500</f>
        <v>0.891714285714286</v>
      </c>
      <c r="E36" s="0" t="n">
        <f aca="false">D36/C36</f>
        <v>0.027021645021645</v>
      </c>
      <c r="F36" s="0" t="n">
        <v>3121</v>
      </c>
      <c r="G36" s="0" t="n">
        <f aca="false">F36-F35</f>
        <v>4</v>
      </c>
      <c r="H36" s="1" t="n">
        <f aca="false">D36-D35</f>
        <v>0.00114285714285711</v>
      </c>
      <c r="I36" s="1" t="n">
        <f aca="false">(D36-D35)/D35</f>
        <v>0.00128328521013792</v>
      </c>
      <c r="J36" s="1" t="n">
        <f aca="false">G36/(3500-F35)</f>
        <v>0.010443864229765</v>
      </c>
    </row>
    <row r="37" customFormat="false" ht="15" hidden="false" customHeight="false" outlineLevel="0" collapsed="false">
      <c r="C37" s="0" t="n">
        <v>34</v>
      </c>
      <c r="D37" s="0" t="n">
        <f aca="false">F37/3500</f>
        <v>0.892857142857143</v>
      </c>
      <c r="E37" s="0" t="n">
        <f aca="false">D37/C37</f>
        <v>0.0262605042016807</v>
      </c>
      <c r="F37" s="0" t="n">
        <v>3125</v>
      </c>
      <c r="G37" s="0" t="n">
        <f aca="false">F37-F36</f>
        <v>4</v>
      </c>
      <c r="H37" s="1" t="n">
        <f aca="false">D37-D36</f>
        <v>0.00114285714285722</v>
      </c>
      <c r="I37" s="1" t="n">
        <f aca="false">(D37-D36)/D36</f>
        <v>0.00128164049983989</v>
      </c>
      <c r="J37" s="1" t="n">
        <f aca="false">G37/(3500-F36)</f>
        <v>0.0105540897097625</v>
      </c>
    </row>
    <row r="38" customFormat="false" ht="15" hidden="false" customHeight="false" outlineLevel="0" collapsed="false">
      <c r="C38" s="0" t="n">
        <v>35</v>
      </c>
      <c r="D38" s="0" t="n">
        <f aca="false">F38/3500</f>
        <v>0.893428571428572</v>
      </c>
      <c r="E38" s="0" t="n">
        <f aca="false">D38/C38</f>
        <v>0.0255265306122449</v>
      </c>
      <c r="F38" s="0" t="n">
        <v>3127</v>
      </c>
      <c r="G38" s="0" t="n">
        <f aca="false">F38-F37</f>
        <v>2</v>
      </c>
      <c r="H38" s="1" t="n">
        <f aca="false">D38-D37</f>
        <v>0.000571428571428556</v>
      </c>
      <c r="I38" s="1" t="n">
        <f aca="false">(D38-D37)/D37</f>
        <v>0.000639999999999983</v>
      </c>
      <c r="J38" s="1" t="n">
        <f aca="false">G38/(3500-F37)</f>
        <v>0.00533333333333333</v>
      </c>
    </row>
    <row r="39" customFormat="false" ht="15" hidden="false" customHeight="false" outlineLevel="0" collapsed="false">
      <c r="C39" s="0" t="n">
        <v>36</v>
      </c>
      <c r="D39" s="0" t="n">
        <f aca="false">F39/3500</f>
        <v>0.893714285714286</v>
      </c>
      <c r="E39" s="0" t="n">
        <f aca="false">D39/C39</f>
        <v>0.0248253968253968</v>
      </c>
      <c r="F39" s="0" t="n">
        <v>3128</v>
      </c>
      <c r="G39" s="0" t="n">
        <f aca="false">F39-F38</f>
        <v>1</v>
      </c>
      <c r="H39" s="1" t="n">
        <f aca="false">D39-D38</f>
        <v>0.000285714285714223</v>
      </c>
      <c r="I39" s="1" t="n">
        <f aca="false">(D39-D38)/D38</f>
        <v>0.000319795330988097</v>
      </c>
      <c r="J39" s="1" t="n">
        <f aca="false">G39/(3500-F38)</f>
        <v>0.00268096514745308</v>
      </c>
    </row>
    <row r="40" customFormat="false" ht="15" hidden="false" customHeight="false" outlineLevel="0" collapsed="false">
      <c r="C40" s="0" t="n">
        <v>37</v>
      </c>
      <c r="D40" s="0" t="n">
        <f aca="false">F40/3500</f>
        <v>0.894857142857143</v>
      </c>
      <c r="E40" s="0" t="n">
        <f aca="false">D40/C40</f>
        <v>0.0241853281853282</v>
      </c>
      <c r="F40" s="0" t="n">
        <v>3132</v>
      </c>
      <c r="G40" s="0" t="n">
        <f aca="false">F40-F39</f>
        <v>4</v>
      </c>
      <c r="H40" s="1" t="n">
        <f aca="false">D40-D39</f>
        <v>0.00114285714285722</v>
      </c>
      <c r="I40" s="1" t="n">
        <f aca="false">(D40-D39)/D39</f>
        <v>0.00127877237851671</v>
      </c>
      <c r="J40" s="1" t="n">
        <f aca="false">G40/(3500-F39)</f>
        <v>0.010752688172043</v>
      </c>
    </row>
    <row r="41" customFormat="false" ht="15" hidden="false" customHeight="false" outlineLevel="0" collapsed="false">
      <c r="C41" s="0" t="n">
        <v>38</v>
      </c>
      <c r="D41" s="0" t="n">
        <f aca="false">F41/3500</f>
        <v>0.895714285714286</v>
      </c>
      <c r="E41" s="0" t="n">
        <f aca="false">D41/C41</f>
        <v>0.0235714285714286</v>
      </c>
      <c r="F41" s="0" t="n">
        <v>3135</v>
      </c>
      <c r="G41" s="0" t="n">
        <f aca="false">F41-F40</f>
        <v>3</v>
      </c>
      <c r="H41" s="1" t="n">
        <f aca="false">D41-D40</f>
        <v>0.000857142857142779</v>
      </c>
      <c r="I41" s="1" t="n">
        <f aca="false">(D41-D40)/D40</f>
        <v>0.00095785440613018</v>
      </c>
      <c r="J41" s="1" t="n">
        <f aca="false">G41/(3500-F40)</f>
        <v>0.00815217391304348</v>
      </c>
    </row>
    <row r="42" customFormat="false" ht="15" hidden="false" customHeight="false" outlineLevel="0" collapsed="false">
      <c r="C42" s="0" t="n">
        <v>39</v>
      </c>
      <c r="D42" s="0" t="n">
        <f aca="false">F42/3500</f>
        <v>0.896</v>
      </c>
      <c r="E42" s="0" t="n">
        <f aca="false">D42/C42</f>
        <v>0.022974358974359</v>
      </c>
      <c r="F42" s="0" t="n">
        <v>3136</v>
      </c>
      <c r="G42" s="0" t="n">
        <f aca="false">F42-F41</f>
        <v>1</v>
      </c>
      <c r="H42" s="1" t="n">
        <f aca="false">D42-D41</f>
        <v>0.000285714285714334</v>
      </c>
      <c r="I42" s="1" t="n">
        <f aca="false">(D42-D41)/D41</f>
        <v>0.000318979266347741</v>
      </c>
      <c r="J42" s="1" t="n">
        <f aca="false">G42/(3500-F41)</f>
        <v>0.00273972602739726</v>
      </c>
    </row>
    <row r="43" customFormat="false" ht="15" hidden="false" customHeight="false" outlineLevel="0" collapsed="false">
      <c r="C43" s="0" t="n">
        <v>40</v>
      </c>
      <c r="D43" s="0" t="n">
        <f aca="false">F43/3500</f>
        <v>0.897714285714286</v>
      </c>
      <c r="E43" s="0" t="n">
        <f aca="false">D43/C43</f>
        <v>0.0224428571428571</v>
      </c>
      <c r="F43" s="0" t="n">
        <v>3142</v>
      </c>
      <c r="G43" s="0" t="n">
        <f aca="false">F43-F42</f>
        <v>6</v>
      </c>
      <c r="H43" s="1" t="n">
        <f aca="false">D43-D42</f>
        <v>0.00171428571428567</v>
      </c>
      <c r="I43" s="1" t="n">
        <f aca="false">(D43-D42)/D42</f>
        <v>0.0019132653061224</v>
      </c>
      <c r="J43" s="1" t="n">
        <f aca="false">G43/(3500-F42)</f>
        <v>0.0164835164835165</v>
      </c>
    </row>
    <row r="44" customFormat="false" ht="15" hidden="false" customHeight="false" outlineLevel="0" collapsed="false">
      <c r="C44" s="0" t="n">
        <v>41</v>
      </c>
      <c r="D44" s="0" t="n">
        <f aca="false">F44/3500</f>
        <v>0.898857142857143</v>
      </c>
      <c r="E44" s="0" t="n">
        <f aca="false">D44/C44</f>
        <v>0.0219233449477352</v>
      </c>
      <c r="F44" s="0" t="n">
        <v>3146</v>
      </c>
      <c r="G44" s="0" t="n">
        <f aca="false">F44-F43</f>
        <v>4</v>
      </c>
      <c r="H44" s="1" t="n">
        <f aca="false">D44-D43</f>
        <v>0.00114285714285722</v>
      </c>
      <c r="I44" s="1" t="n">
        <f aca="false">(D44-D43)/D43</f>
        <v>0.00127307447485687</v>
      </c>
      <c r="J44" s="1" t="n">
        <f aca="false">G44/(3500-F43)</f>
        <v>0.0111731843575419</v>
      </c>
    </row>
    <row r="45" customFormat="false" ht="15" hidden="false" customHeight="false" outlineLevel="0" collapsed="false">
      <c r="C45" s="0" t="n">
        <v>42</v>
      </c>
      <c r="D45" s="0" t="n">
        <f aca="false">F45/3500</f>
        <v>0.899714285714286</v>
      </c>
      <c r="E45" s="0" t="n">
        <f aca="false">D45/C45</f>
        <v>0.021421768707483</v>
      </c>
      <c r="F45" s="0" t="n">
        <v>3149</v>
      </c>
      <c r="G45" s="0" t="n">
        <f aca="false">F45-F44</f>
        <v>3</v>
      </c>
      <c r="H45" s="1" t="n">
        <f aca="false">D45-D44</f>
        <v>0.000857142857142779</v>
      </c>
      <c r="I45" s="1" t="n">
        <f aca="false">(D45-D44)/D44</f>
        <v>0.000953591862682684</v>
      </c>
      <c r="J45" s="1" t="n">
        <f aca="false">G45/(3500-F44)</f>
        <v>0.00847457627118644</v>
      </c>
    </row>
    <row r="46" customFormat="false" ht="15" hidden="false" customHeight="false" outlineLevel="0" collapsed="false">
      <c r="C46" s="0" t="n">
        <v>43</v>
      </c>
      <c r="D46" s="0" t="n">
        <f aca="false">F46/3500</f>
        <v>0.9</v>
      </c>
      <c r="E46" s="0" t="n">
        <f aca="false">D46/C46</f>
        <v>0.0209302325581395</v>
      </c>
      <c r="F46" s="0" t="n">
        <v>3150</v>
      </c>
      <c r="G46" s="4" t="n">
        <f aca="false">F46-F45</f>
        <v>1</v>
      </c>
      <c r="H46" s="1" t="n">
        <f aca="false">D46-D45</f>
        <v>0.000285714285714334</v>
      </c>
      <c r="I46" s="1" t="n">
        <f aca="false">(D46-D45)/D45</f>
        <v>0.000317561130517678</v>
      </c>
      <c r="J46" s="1" t="n">
        <f aca="false">G46/(3500-F45)</f>
        <v>0.00284900284900285</v>
      </c>
    </row>
    <row r="47" s="5" customFormat="true" ht="15" hidden="false" customHeight="false" outlineLevel="0" collapsed="false">
      <c r="B47" s="5" t="s">
        <v>12</v>
      </c>
      <c r="C47" s="5" t="n">
        <v>1</v>
      </c>
      <c r="D47" s="5" t="n">
        <f aca="false">F47/3500</f>
        <v>0.832857142857143</v>
      </c>
      <c r="E47" s="5" t="n">
        <f aca="false">D47/C47</f>
        <v>0.832857142857143</v>
      </c>
      <c r="F47" s="5" t="n">
        <v>2915</v>
      </c>
      <c r="G47" s="5" t="n">
        <f aca="false">F47-0</f>
        <v>2915</v>
      </c>
      <c r="H47" s="6" t="n">
        <f aca="false">D47</f>
        <v>0.832857142857143</v>
      </c>
      <c r="I47" s="6" t="n">
        <f aca="false">E47</f>
        <v>0.832857142857143</v>
      </c>
    </row>
    <row r="48" customFormat="false" ht="15" hidden="false" customHeight="false" outlineLevel="0" collapsed="false">
      <c r="C48" s="0" t="n">
        <v>2</v>
      </c>
      <c r="D48" s="0" t="n">
        <f aca="false">F48/3500</f>
        <v>0.891714285714286</v>
      </c>
      <c r="E48" s="0" t="n">
        <f aca="false">D48/C48</f>
        <v>0.445857142857143</v>
      </c>
      <c r="F48" s="0" t="n">
        <v>3121</v>
      </c>
      <c r="G48" s="0" t="n">
        <f aca="false">F48-F47</f>
        <v>206</v>
      </c>
      <c r="H48" s="1" t="n">
        <f aca="false">D48-D47</f>
        <v>0.0588571428571428</v>
      </c>
      <c r="I48" s="1" t="n">
        <f aca="false">(D48-D47)/D47</f>
        <v>0.0706689536878216</v>
      </c>
      <c r="J48" s="1" t="n">
        <f aca="false">G48/(3500-F47)</f>
        <v>0.352136752136752</v>
      </c>
    </row>
    <row r="49" customFormat="false" ht="15" hidden="false" customHeight="false" outlineLevel="0" collapsed="false">
      <c r="C49" s="0" t="n">
        <v>3</v>
      </c>
      <c r="D49" s="0" t="n">
        <f aca="false">F49/3500</f>
        <v>0.927428571428571</v>
      </c>
      <c r="E49" s="0" t="n">
        <f aca="false">D49/C49</f>
        <v>0.309142857142857</v>
      </c>
      <c r="F49" s="0" t="n">
        <v>3246</v>
      </c>
      <c r="G49" s="0" t="n">
        <f aca="false">F49-F48</f>
        <v>125</v>
      </c>
      <c r="H49" s="1" t="n">
        <f aca="false">D49-D48</f>
        <v>0.0357142857142857</v>
      </c>
      <c r="I49" s="1" t="n">
        <f aca="false">(D49-D48)/D48</f>
        <v>0.0400512656199936</v>
      </c>
      <c r="J49" s="1" t="n">
        <f aca="false">G49/(3500-F48)</f>
        <v>0.329815303430079</v>
      </c>
    </row>
    <row r="50" customFormat="false" ht="15" hidden="false" customHeight="false" outlineLevel="0" collapsed="false">
      <c r="C50" s="0" t="n">
        <v>4</v>
      </c>
      <c r="D50" s="0" t="n">
        <f aca="false">F50/3500</f>
        <v>0.938571428571429</v>
      </c>
      <c r="E50" s="0" t="n">
        <f aca="false">D50/C50</f>
        <v>0.234642857142857</v>
      </c>
      <c r="F50" s="0" t="n">
        <v>3285</v>
      </c>
      <c r="G50" s="0" t="n">
        <f aca="false">F50-F49</f>
        <v>39</v>
      </c>
      <c r="H50" s="1" t="n">
        <f aca="false">D50-D49</f>
        <v>0.0111428571428572</v>
      </c>
      <c r="I50" s="1" t="n">
        <f aca="false">(D50-D49)/D49</f>
        <v>0.012014787430684</v>
      </c>
      <c r="J50" s="1" t="n">
        <f aca="false">G50/(3500-F49)</f>
        <v>0.153543307086614</v>
      </c>
    </row>
    <row r="51" customFormat="false" ht="15" hidden="false" customHeight="false" outlineLevel="0" collapsed="false">
      <c r="C51" s="0" t="n">
        <v>5</v>
      </c>
      <c r="D51" s="0" t="n">
        <f aca="false">F51/3500</f>
        <v>0.944285714285714</v>
      </c>
      <c r="E51" s="0" t="n">
        <f aca="false">D51/C51</f>
        <v>0.188857142857143</v>
      </c>
      <c r="F51" s="0" t="n">
        <v>3305</v>
      </c>
      <c r="G51" s="0" t="n">
        <f aca="false">F51-F50</f>
        <v>20</v>
      </c>
      <c r="H51" s="1" t="n">
        <f aca="false">D51-D50</f>
        <v>0.00571428571428567</v>
      </c>
      <c r="I51" s="1" t="n">
        <f aca="false">(D51-D50)/D50</f>
        <v>0.00608828006088276</v>
      </c>
      <c r="J51" s="1" t="n">
        <f aca="false">G51/(3500-F50)</f>
        <v>0.0930232558139535</v>
      </c>
    </row>
    <row r="52" customFormat="false" ht="15" hidden="false" customHeight="false" outlineLevel="0" collapsed="false">
      <c r="C52" s="0" t="n">
        <v>6</v>
      </c>
      <c r="D52" s="0" t="n">
        <f aca="false">F52/3500</f>
        <v>0.947142857142857</v>
      </c>
      <c r="E52" s="0" t="n">
        <f aca="false">D52/C52</f>
        <v>0.157857142857143</v>
      </c>
      <c r="F52" s="0" t="n">
        <v>3315</v>
      </c>
      <c r="G52" s="0" t="n">
        <f aca="false">F52-F51</f>
        <v>10</v>
      </c>
      <c r="H52" s="1" t="n">
        <f aca="false">D52-D51</f>
        <v>0.00285714285714289</v>
      </c>
      <c r="I52" s="1" t="n">
        <f aca="false">(D52-D51)/D51</f>
        <v>0.00302571860816948</v>
      </c>
      <c r="J52" s="1" t="n">
        <f aca="false">G52/(3500-F51)</f>
        <v>0.0512820512820513</v>
      </c>
    </row>
    <row r="53" customFormat="false" ht="15" hidden="false" customHeight="false" outlineLevel="0" collapsed="false">
      <c r="C53" s="0" t="n">
        <v>7</v>
      </c>
      <c r="D53" s="0" t="n">
        <f aca="false">F53/3500</f>
        <v>0.949714285714286</v>
      </c>
      <c r="E53" s="0" t="n">
        <f aca="false">D53/C53</f>
        <v>0.135673469387755</v>
      </c>
      <c r="F53" s="0" t="n">
        <v>3324</v>
      </c>
      <c r="G53" s="0" t="n">
        <f aca="false">F53-F52</f>
        <v>9</v>
      </c>
      <c r="H53" s="1" t="n">
        <f aca="false">D53-D52</f>
        <v>0.00257142857142856</v>
      </c>
      <c r="I53" s="1" t="n">
        <f aca="false">(D53-D52)/D52</f>
        <v>0.00271493212669682</v>
      </c>
      <c r="J53" s="1" t="n">
        <f aca="false">G53/(3500-F52)</f>
        <v>0.0486486486486487</v>
      </c>
    </row>
    <row r="54" customFormat="false" ht="15" hidden="false" customHeight="false" outlineLevel="0" collapsed="false">
      <c r="C54" s="0" t="n">
        <v>8</v>
      </c>
      <c r="D54" s="0" t="n">
        <f aca="false">F54/3500</f>
        <v>0.951142857142857</v>
      </c>
      <c r="E54" s="0" t="n">
        <f aca="false">D54/C54</f>
        <v>0.118892857142857</v>
      </c>
      <c r="F54" s="0" t="n">
        <v>3329</v>
      </c>
      <c r="G54" s="0" t="n">
        <f aca="false">F54-F53</f>
        <v>5</v>
      </c>
      <c r="H54" s="1" t="n">
        <f aca="false">D54-D53</f>
        <v>0.00142857142857145</v>
      </c>
      <c r="I54" s="1" t="n">
        <f aca="false">(D54-D53)/D53</f>
        <v>0.00150421179302048</v>
      </c>
      <c r="J54" s="1" t="n">
        <f aca="false">G54/(3500-F53)</f>
        <v>0.0284090909090909</v>
      </c>
    </row>
    <row r="55" customFormat="false" ht="15" hidden="false" customHeight="false" outlineLevel="0" collapsed="false">
      <c r="C55" s="0" t="n">
        <v>9</v>
      </c>
      <c r="D55" s="0" t="n">
        <f aca="false">F55/3500</f>
        <v>0.953428571428571</v>
      </c>
      <c r="E55" s="0" t="n">
        <f aca="false">D55/C55</f>
        <v>0.105936507936508</v>
      </c>
      <c r="F55" s="0" t="n">
        <v>3337</v>
      </c>
      <c r="G55" s="0" t="n">
        <f aca="false">F55-F54</f>
        <v>8</v>
      </c>
      <c r="H55" s="1" t="n">
        <f aca="false">D55-D54</f>
        <v>0.00228571428571422</v>
      </c>
      <c r="I55" s="1" t="n">
        <f aca="false">(D55-D54)/D54</f>
        <v>0.0024031240612796</v>
      </c>
      <c r="J55" s="1" t="n">
        <f aca="false">G55/(3500-F54)</f>
        <v>0.0467836257309942</v>
      </c>
    </row>
    <row r="56" customFormat="false" ht="15" hidden="false" customHeight="false" outlineLevel="0" collapsed="false">
      <c r="C56" s="0" t="n">
        <v>10</v>
      </c>
      <c r="D56" s="0" t="n">
        <f aca="false">F56/3500</f>
        <v>0.955142857142857</v>
      </c>
      <c r="E56" s="0" t="n">
        <f aca="false">D56/C56</f>
        <v>0.0955142857142857</v>
      </c>
      <c r="F56" s="0" t="n">
        <v>3343</v>
      </c>
      <c r="G56" s="0" t="n">
        <f aca="false">F56-F55</f>
        <v>6</v>
      </c>
      <c r="H56" s="1" t="n">
        <f aca="false">D56-D55</f>
        <v>0.00171428571428578</v>
      </c>
      <c r="I56" s="1" t="n">
        <f aca="false">(D56-D55)/D55</f>
        <v>0.0017980221756069</v>
      </c>
      <c r="J56" s="1" t="n">
        <f aca="false">G56/(3500-F55)</f>
        <v>0.0368098159509203</v>
      </c>
    </row>
    <row r="57" customFormat="false" ht="15" hidden="false" customHeight="false" outlineLevel="0" collapsed="false">
      <c r="C57" s="0" t="n">
        <v>11</v>
      </c>
      <c r="D57" s="0" t="n">
        <f aca="false">F57/3500</f>
        <v>0.956</v>
      </c>
      <c r="E57" s="0" t="n">
        <f aca="false">D57/C57</f>
        <v>0.0869090909090909</v>
      </c>
      <c r="F57" s="0" t="n">
        <v>3346</v>
      </c>
      <c r="G57" s="0" t="n">
        <f aca="false">F57-F56</f>
        <v>3</v>
      </c>
      <c r="H57" s="1" t="n">
        <f aca="false">D57-D56</f>
        <v>0.000857142857142779</v>
      </c>
      <c r="I57" s="1" t="n">
        <f aca="false">(D57-D56)/D56</f>
        <v>0.000897397547113289</v>
      </c>
      <c r="J57" s="1" t="n">
        <f aca="false">G57/(3500-F56)</f>
        <v>0.0191082802547771</v>
      </c>
    </row>
    <row r="58" customFormat="false" ht="15" hidden="false" customHeight="false" outlineLevel="0" collapsed="false">
      <c r="C58" s="0" t="n">
        <v>12</v>
      </c>
      <c r="D58" s="0" t="n">
        <f aca="false">F58/3500</f>
        <v>0.956571428571429</v>
      </c>
      <c r="E58" s="0" t="n">
        <f aca="false">D58/C58</f>
        <v>0.0797142857142857</v>
      </c>
      <c r="F58" s="0" t="n">
        <v>3348</v>
      </c>
      <c r="G58" s="0" t="n">
        <f aca="false">F58-F57</f>
        <v>2</v>
      </c>
      <c r="H58" s="1" t="n">
        <f aca="false">D58-D57</f>
        <v>0.000571428571428556</v>
      </c>
      <c r="I58" s="1" t="n">
        <f aca="false">(D58-D57)/D57</f>
        <v>0.000597728631201419</v>
      </c>
      <c r="J58" s="1" t="n">
        <f aca="false">G58/(3500-F57)</f>
        <v>0.012987012987013</v>
      </c>
    </row>
    <row r="59" customFormat="false" ht="15" hidden="false" customHeight="false" outlineLevel="0" collapsed="false">
      <c r="C59" s="0" t="n">
        <v>13</v>
      </c>
      <c r="D59" s="0" t="n">
        <f aca="false">F59/3500</f>
        <v>0.957428571428571</v>
      </c>
      <c r="E59" s="0" t="n">
        <f aca="false">D59/C59</f>
        <v>0.0736483516483517</v>
      </c>
      <c r="F59" s="0" t="n">
        <v>3351</v>
      </c>
      <c r="G59" s="0" t="n">
        <f aca="false">F59-F58</f>
        <v>3</v>
      </c>
      <c r="H59" s="1" t="n">
        <f aca="false">D59-D58</f>
        <v>0.00085714285714289</v>
      </c>
      <c r="I59" s="1" t="n">
        <f aca="false">(D59-D58)/D58</f>
        <v>0.000896057347670285</v>
      </c>
      <c r="J59" s="1" t="n">
        <f aca="false">G59/(3500-F58)</f>
        <v>0.0197368421052632</v>
      </c>
    </row>
    <row r="60" customFormat="false" ht="15" hidden="false" customHeight="false" outlineLevel="0" collapsed="false">
      <c r="C60" s="0" t="n">
        <v>14</v>
      </c>
      <c r="D60" s="0" t="n">
        <f aca="false">F60/3500</f>
        <v>0.958</v>
      </c>
      <c r="E60" s="0" t="n">
        <f aca="false">D60/C60</f>
        <v>0.0684285714285714</v>
      </c>
      <c r="F60" s="0" t="n">
        <v>3353</v>
      </c>
      <c r="G60" s="0" t="n">
        <f aca="false">F60-F59</f>
        <v>2</v>
      </c>
      <c r="H60" s="1" t="n">
        <f aca="false">D60-D59</f>
        <v>0.000571428571428556</v>
      </c>
      <c r="I60" s="1" t="n">
        <f aca="false">(D60-D59)/D59</f>
        <v>0.000596836765144717</v>
      </c>
      <c r="J60" s="1" t="n">
        <f aca="false">G60/(3500-F59)</f>
        <v>0.0134228187919463</v>
      </c>
    </row>
    <row r="61" customFormat="false" ht="15" hidden="false" customHeight="false" outlineLevel="0" collapsed="false">
      <c r="C61" s="0" t="n">
        <v>15</v>
      </c>
      <c r="D61" s="0" t="n">
        <f aca="false">F61/3500</f>
        <v>0.958285714285714</v>
      </c>
      <c r="E61" s="0" t="n">
        <f aca="false">D61/C61</f>
        <v>0.0638857142857143</v>
      </c>
      <c r="F61" s="0" t="n">
        <v>3354</v>
      </c>
      <c r="G61" s="0" t="n">
        <f aca="false">F61-F60</f>
        <v>1</v>
      </c>
      <c r="H61" s="1" t="n">
        <f aca="false">D61-D60</f>
        <v>0.000285714285714334</v>
      </c>
      <c r="I61" s="1" t="n">
        <f aca="false">(D61-D60)/D60</f>
        <v>0.000298240381747739</v>
      </c>
      <c r="J61" s="1" t="n">
        <f aca="false">G61/(3500-F60)</f>
        <v>0.00680272108843537</v>
      </c>
    </row>
    <row r="62" customFormat="false" ht="15" hidden="false" customHeight="false" outlineLevel="0" collapsed="false">
      <c r="C62" s="0" t="n">
        <v>16</v>
      </c>
      <c r="D62" s="0" t="n">
        <f aca="false">F62/3500</f>
        <v>0.958857142857143</v>
      </c>
      <c r="E62" s="0" t="n">
        <f aca="false">D62/C62</f>
        <v>0.0599285714285714</v>
      </c>
      <c r="F62" s="0" t="n">
        <v>3356</v>
      </c>
      <c r="G62" s="0" t="n">
        <f aca="false">F62-F61</f>
        <v>2</v>
      </c>
      <c r="H62" s="1" t="n">
        <f aca="false">D62-D61</f>
        <v>0.000571428571428556</v>
      </c>
      <c r="I62" s="1" t="n">
        <f aca="false">(D62-D61)/D61</f>
        <v>0.000596302921884301</v>
      </c>
      <c r="J62" s="1" t="n">
        <f aca="false">G62/(3500-F61)</f>
        <v>0.0136986301369863</v>
      </c>
    </row>
    <row r="63" customFormat="false" ht="15" hidden="false" customHeight="false" outlineLevel="0" collapsed="false">
      <c r="C63" s="0" t="n">
        <v>17</v>
      </c>
      <c r="D63" s="0" t="n">
        <f aca="false">F63/3500</f>
        <v>0.959714285714286</v>
      </c>
      <c r="E63" s="0" t="n">
        <f aca="false">D63/C63</f>
        <v>0.056453781512605</v>
      </c>
      <c r="F63" s="0" t="n">
        <v>3359</v>
      </c>
      <c r="G63" s="0" t="n">
        <f aca="false">F63-F62</f>
        <v>3</v>
      </c>
      <c r="H63" s="1" t="n">
        <f aca="false">D63-D62</f>
        <v>0.00085714285714289</v>
      </c>
      <c r="I63" s="1" t="n">
        <f aca="false">(D63-D62)/D62</f>
        <v>0.000893921334922561</v>
      </c>
      <c r="J63" s="1" t="n">
        <f aca="false">G63/(3500-F62)</f>
        <v>0.0208333333333333</v>
      </c>
    </row>
    <row r="64" customFormat="false" ht="15" hidden="false" customHeight="false" outlineLevel="0" collapsed="false">
      <c r="C64" s="0" t="n">
        <v>18</v>
      </c>
      <c r="D64" s="0" t="n">
        <f aca="false">F64/3500</f>
        <v>0.960571428571429</v>
      </c>
      <c r="E64" s="0" t="n">
        <f aca="false">D64/C64</f>
        <v>0.0533650793650794</v>
      </c>
      <c r="F64" s="0" t="n">
        <v>3362</v>
      </c>
      <c r="G64" s="0" t="n">
        <f aca="false">F64-F63</f>
        <v>3</v>
      </c>
      <c r="H64" s="1" t="n">
        <f aca="false">D64-D63</f>
        <v>0.000857142857142779</v>
      </c>
      <c r="I64" s="1" t="n">
        <f aca="false">(D64-D63)/D63</f>
        <v>0.000893122953259817</v>
      </c>
      <c r="J64" s="1" t="n">
        <f aca="false">G64/(3500-F63)</f>
        <v>0.0212765957446809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2025-03-30T13:53:28Z</dcterms:created>
  <dc:creator/>
  <dc:description/>
  <dc:language>de-DE</dc:language>
  <cp:lastModifiedBy/>
  <dcterms:modified xsi:type="dcterms:W3CDTF">2025-12-13T11:40:12Z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